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viniciusmaciel/Downloads/"/>
    </mc:Choice>
  </mc:AlternateContent>
  <xr:revisionPtr revIDLastSave="0" documentId="13_ncr:1_{E9C0BCC6-86CA-144D-A626-94ACED22880E}" xr6:coauthVersionLast="47" xr6:coauthVersionMax="47" xr10:uidLastSave="{00000000-0000-0000-0000-000000000000}"/>
  <bookViews>
    <workbookView xWindow="1360" yWindow="3820" windowWidth="21300" windowHeight="15720" tabRatio="715" activeTab="1" xr2:uid="{18111854-E975-4F2A-83D8-9DBE7A0C57B6}"/>
  </bookViews>
  <sheets>
    <sheet name="Textos" sheetId="1" r:id="rId1"/>
    <sheet name="Base Consolidada" sheetId="2" r:id="rId2"/>
    <sheet name="Base Clientes" sheetId="16" r:id="rId3"/>
    <sheet name="Base Nova" sheetId="15" r:id="rId4"/>
  </sheets>
  <functionGroups builtInGroupCount="19"/>
  <definedNames>
    <definedName name="_xlnm._FilterDatabase" localSheetId="1" hidden="1">'Base Consolidada'!$A$1:$G$121</definedName>
    <definedName name="_xlnm._FilterDatabase" localSheetId="0" hidden="1">Textos!$C$13:$C$23</definedName>
    <definedName name="_xleta.BASE" hidden="1" xlm="1">#NAME?</definedName>
    <definedName name="_xleta.MONTH" hidden="1" xlm="1">#NAME?</definedName>
    <definedName name="CIQWBGuid" hidden="1">"89177f22-1df5-411d-9872-fdcc82b1a4c7"</definedName>
    <definedName name="CIQWBInfo" hidden="1">"{ ""CIQVersion"":""9.50.2716.4594""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"02/17/2023 18:55:06"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 iterateCount="10000" iterateDelta="9.9999999999999995E-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6" l="1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B40" i="1" l="1" a="1"/>
  <c r="B40" i="1" s="1"/>
  <c r="E270" i="15"/>
  <c r="E302" i="15"/>
  <c r="E301" i="15"/>
  <c r="E300" i="15"/>
  <c r="E297" i="15"/>
  <c r="B152" i="1"/>
  <c r="D151" i="1"/>
  <c r="B142" i="1"/>
  <c r="D141" i="1"/>
  <c r="B132" i="1"/>
  <c r="D131" i="1"/>
  <c r="B122" i="1"/>
  <c r="D121" i="1"/>
  <c r="B112" i="1"/>
  <c r="E305" i="15"/>
  <c r="E284" i="15"/>
  <c r="E200" i="15"/>
  <c r="E135" i="15"/>
  <c r="E9" i="15"/>
  <c r="E11" i="15"/>
  <c r="E12" i="15"/>
  <c r="E14" i="15"/>
  <c r="E16" i="15"/>
  <c r="E18" i="15"/>
  <c r="E19" i="15"/>
  <c r="E21" i="15"/>
  <c r="E22" i="15"/>
  <c r="E24" i="15"/>
  <c r="E25" i="15"/>
  <c r="E27" i="15"/>
  <c r="E28" i="15"/>
  <c r="E29" i="15"/>
  <c r="E30" i="15"/>
  <c r="E31" i="15"/>
  <c r="E33" i="15"/>
  <c r="E35" i="15"/>
  <c r="E36" i="15"/>
  <c r="E37" i="15"/>
  <c r="E39" i="15"/>
  <c r="E40" i="15"/>
  <c r="E41" i="15"/>
  <c r="E43" i="15"/>
  <c r="E44" i="15"/>
  <c r="E45" i="15"/>
  <c r="E47" i="15"/>
  <c r="E48" i="15"/>
  <c r="E49" i="15"/>
  <c r="E51" i="15"/>
  <c r="E52" i="15"/>
  <c r="E54" i="15"/>
  <c r="E55" i="15"/>
  <c r="E56" i="15"/>
  <c r="E58" i="15"/>
  <c r="E60" i="15"/>
  <c r="E62" i="15"/>
  <c r="E63" i="15"/>
  <c r="E64" i="15"/>
  <c r="E66" i="15"/>
  <c r="E67" i="15"/>
  <c r="E69" i="15"/>
  <c r="E70" i="15"/>
  <c r="E72" i="15"/>
  <c r="E74" i="15"/>
  <c r="E75" i="15"/>
  <c r="E77" i="15"/>
  <c r="E79" i="15"/>
  <c r="E80" i="15"/>
  <c r="E81" i="15"/>
  <c r="E82" i="15"/>
  <c r="E83" i="15"/>
  <c r="E85" i="15"/>
  <c r="E86" i="15"/>
  <c r="E87" i="15"/>
  <c r="E88" i="15"/>
  <c r="E90" i="15"/>
  <c r="E91" i="15"/>
  <c r="E92" i="15"/>
  <c r="E94" i="15"/>
  <c r="E95" i="15"/>
  <c r="E97" i="15"/>
  <c r="E98" i="15"/>
  <c r="E99" i="15"/>
  <c r="E101" i="15"/>
  <c r="E102" i="15"/>
  <c r="E104" i="15"/>
  <c r="E106" i="15"/>
  <c r="E107" i="15"/>
  <c r="E109" i="15"/>
  <c r="E110" i="15"/>
  <c r="E112" i="15"/>
  <c r="E114" i="15"/>
  <c r="E115" i="15"/>
  <c r="E116" i="15"/>
  <c r="E120" i="15"/>
  <c r="E122" i="15"/>
  <c r="E124" i="15"/>
  <c r="E126" i="15"/>
  <c r="E127" i="15"/>
  <c r="E128" i="15"/>
  <c r="E130" i="15"/>
  <c r="E131" i="15"/>
  <c r="E133" i="15"/>
  <c r="E137" i="15"/>
  <c r="E139" i="15"/>
  <c r="E141" i="15"/>
  <c r="E143" i="15"/>
  <c r="E144" i="15"/>
  <c r="E146" i="15"/>
  <c r="E148" i="15"/>
  <c r="E149" i="15"/>
  <c r="E151" i="15"/>
  <c r="E153" i="15"/>
  <c r="E154" i="15"/>
  <c r="E156" i="15"/>
  <c r="E158" i="15"/>
  <c r="E159" i="15"/>
  <c r="E160" i="15"/>
  <c r="E162" i="15"/>
  <c r="E163" i="15"/>
  <c r="E165" i="15"/>
  <c r="E166" i="15"/>
  <c r="E167" i="15"/>
  <c r="E169" i="15"/>
  <c r="E170" i="15"/>
  <c r="E171" i="15"/>
  <c r="E173" i="15"/>
  <c r="E174" i="15"/>
  <c r="E176" i="15"/>
  <c r="E178" i="15"/>
  <c r="E180" i="15"/>
  <c r="E182" i="15"/>
  <c r="E183" i="15"/>
  <c r="E185" i="15"/>
  <c r="E186" i="15"/>
  <c r="E188" i="15"/>
  <c r="E190" i="15"/>
  <c r="E191" i="15"/>
  <c r="E195" i="15"/>
  <c r="E198" i="15"/>
  <c r="E202" i="15"/>
  <c r="E204" i="15"/>
  <c r="E206" i="15"/>
  <c r="E208" i="15"/>
  <c r="E209" i="15"/>
  <c r="E211" i="15"/>
  <c r="E212" i="15"/>
  <c r="E214" i="15"/>
  <c r="E215" i="15"/>
  <c r="E217" i="15"/>
  <c r="E218" i="15"/>
  <c r="E219" i="15"/>
  <c r="E221" i="15"/>
  <c r="E222" i="15"/>
  <c r="E223" i="15"/>
  <c r="E225" i="15"/>
  <c r="E226" i="15"/>
  <c r="E228" i="15"/>
  <c r="E230" i="15"/>
  <c r="E232" i="15"/>
  <c r="E233" i="15"/>
  <c r="E235" i="15"/>
  <c r="E236" i="15"/>
  <c r="E238" i="15"/>
  <c r="E239" i="15"/>
  <c r="E240" i="15"/>
  <c r="E241" i="15"/>
  <c r="E243" i="15"/>
  <c r="E244" i="15"/>
  <c r="E246" i="15"/>
  <c r="E247" i="15"/>
  <c r="E249" i="15"/>
  <c r="E251" i="15"/>
  <c r="E252" i="15"/>
  <c r="E253" i="15"/>
  <c r="E255" i="15"/>
  <c r="E256" i="15"/>
  <c r="E258" i="15"/>
  <c r="E259" i="15"/>
  <c r="E263" i="15"/>
  <c r="E264" i="15"/>
  <c r="E265" i="15"/>
  <c r="E266" i="15"/>
  <c r="E268" i="15"/>
  <c r="E269" i="15"/>
  <c r="E272" i="15"/>
  <c r="E274" i="15"/>
  <c r="E275" i="15"/>
  <c r="E276" i="15"/>
  <c r="E278" i="15"/>
  <c r="E280" i="15"/>
  <c r="E282" i="15"/>
  <c r="E285" i="15"/>
  <c r="E286" i="15"/>
  <c r="E287" i="15"/>
  <c r="E289" i="15"/>
  <c r="E290" i="15"/>
  <c r="E291" i="15"/>
  <c r="E293" i="15"/>
  <c r="E294" i="15"/>
  <c r="E295" i="15"/>
  <c r="E296" i="15"/>
  <c r="E298" i="15"/>
  <c r="E299" i="15"/>
  <c r="E303" i="15"/>
  <c r="E306" i="15"/>
  <c r="E308" i="15"/>
  <c r="E309" i="15"/>
  <c r="E310" i="15"/>
  <c r="E312" i="15"/>
  <c r="E313" i="15"/>
  <c r="E315" i="15"/>
  <c r="E316" i="15"/>
  <c r="E317" i="15"/>
  <c r="E319" i="15"/>
  <c r="E320" i="15"/>
  <c r="E322" i="15"/>
  <c r="E324" i="15"/>
  <c r="E325" i="15"/>
  <c r="E327" i="15"/>
  <c r="E329" i="15"/>
  <c r="E6" i="15"/>
  <c r="E7" i="15"/>
  <c r="E8" i="15"/>
  <c r="E4" i="15"/>
  <c r="E3" i="15"/>
  <c r="C7" i="1" l="1"/>
  <c r="C11" i="1"/>
  <c r="C14" i="1" l="1" a="1"/>
  <c r="C14" i="1" s="1"/>
  <c r="C18" i="1" a="1"/>
  <c r="C18" i="1" s="1"/>
  <c r="C29" i="1" s="1"/>
  <c r="C21" i="1" a="1"/>
  <c r="C21" i="1" s="1"/>
  <c r="B130" i="1" s="1"/>
  <c r="C17" i="1" a="1"/>
  <c r="C17" i="1" s="1"/>
  <c r="C28" i="1" s="1"/>
  <c r="C20" i="1" a="1"/>
  <c r="C20" i="1" s="1"/>
  <c r="C22" i="1" a="1"/>
  <c r="C22" i="1" s="1"/>
  <c r="B140" i="1" s="1"/>
  <c r="C19" i="1" a="1"/>
  <c r="C19" i="1" s="1"/>
  <c r="C23" i="1" a="1"/>
  <c r="C23" i="1" s="1"/>
  <c r="B150" i="1" s="1"/>
  <c r="C13" i="1" a="1"/>
  <c r="C13" i="1" s="1"/>
  <c r="C24" i="1" s="1"/>
  <c r="C16" i="1" a="1"/>
  <c r="C16" i="1" s="1"/>
  <c r="C27" i="1" s="1"/>
  <c r="C15" i="1" a="1"/>
  <c r="C15" i="1" s="1"/>
  <c r="C26" i="1" s="1"/>
  <c r="C30" i="1" l="1"/>
  <c r="B110" i="1"/>
  <c r="D18" i="1"/>
  <c r="C31" i="1"/>
  <c r="B120" i="1"/>
  <c r="D22" i="1"/>
  <c r="C33" i="1"/>
  <c r="D20" i="1"/>
  <c r="D17" i="1"/>
  <c r="D23" i="1"/>
  <c r="D34" i="1"/>
  <c r="C34" i="1"/>
  <c r="D19" i="1"/>
  <c r="D21" i="1"/>
  <c r="C32" i="1"/>
  <c r="D14" i="1"/>
  <c r="C25" i="1"/>
  <c r="D25" i="1"/>
  <c r="D31" i="1"/>
  <c r="D28" i="1"/>
  <c r="D30" i="1"/>
  <c r="B60" i="1"/>
  <c r="D33" i="1"/>
  <c r="D32" i="1"/>
  <c r="D29" i="1"/>
  <c r="D27" i="1"/>
  <c r="D26" i="1"/>
  <c r="D24" i="1"/>
  <c r="D51" i="1" s="1"/>
  <c r="D13" i="1"/>
  <c r="B50" i="1"/>
  <c r="D15" i="1"/>
  <c r="B70" i="1"/>
  <c r="B90" i="1"/>
  <c r="B100" i="1"/>
  <c r="D16" i="1"/>
  <c r="B80" i="1"/>
  <c r="E153" i="1" l="1"/>
  <c r="C8" i="1"/>
  <c r="B82" i="1"/>
  <c r="E122" i="1" l="1"/>
  <c r="E123" i="1"/>
  <c r="E142" i="1"/>
  <c r="E113" i="1"/>
  <c r="E143" i="1"/>
  <c r="E132" i="1"/>
  <c r="E112" i="1"/>
  <c r="E152" i="1"/>
  <c r="E133" i="1"/>
  <c r="D111" i="1"/>
  <c r="K18" i="1" a="1"/>
  <c r="K18" i="1" s="1"/>
  <c r="K17" i="1" a="1"/>
  <c r="K17" i="1" s="1"/>
  <c r="K16" i="1" a="1"/>
  <c r="K16" i="1" s="1"/>
  <c r="K13" i="1" a="1"/>
  <c r="K13" i="1" s="1"/>
  <c r="B45" i="1"/>
  <c r="E72" i="1" l="1"/>
  <c r="E73" i="1"/>
  <c r="E92" i="1"/>
  <c r="D71" i="1"/>
  <c r="K14" i="1"/>
  <c r="E62" i="1" l="1"/>
  <c r="E63" i="1"/>
  <c r="E52" i="1"/>
  <c r="D61" i="1"/>
  <c r="D81" i="1"/>
  <c r="E82" i="1"/>
  <c r="E83" i="1"/>
  <c r="E103" i="1"/>
  <c r="D101" i="1"/>
  <c r="E102" i="1"/>
  <c r="E93" i="1"/>
  <c r="E53" i="1"/>
  <c r="C5" i="1"/>
  <c r="B167" i="1" s="1"/>
  <c r="C6" i="1" l="1"/>
  <c r="B43" i="1"/>
  <c r="B48" i="1"/>
  <c r="B52" i="1"/>
  <c r="B62" i="1"/>
  <c r="B72" i="1"/>
  <c r="B92" i="1"/>
  <c r="B102" i="1"/>
  <c r="D9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<sst xmlns="http://schemas.openxmlformats.org/spreadsheetml/2006/main" count="2577" uniqueCount="295">
  <si>
    <t>Nome do Cliente:</t>
  </si>
  <si>
    <t>Mês de Referência:</t>
  </si>
  <si>
    <t>Ano de Referência:</t>
  </si>
  <si>
    <t>Banker:</t>
  </si>
  <si>
    <t>Assunto</t>
  </si>
  <si>
    <t>Email do Cliente:</t>
  </si>
  <si>
    <t>cc:</t>
  </si>
  <si>
    <t>Breve Comentário</t>
  </si>
  <si>
    <t>Número de Carteiras</t>
  </si>
  <si>
    <t>Carteiras</t>
  </si>
  <si>
    <t xml:space="preserve">Moderada </t>
  </si>
  <si>
    <t xml:space="preserve">Offshore </t>
  </si>
  <si>
    <t>CDI</t>
  </si>
  <si>
    <t>IPCA + 3%</t>
  </si>
  <si>
    <t>IPCA + 5%</t>
  </si>
  <si>
    <t>IPCA + 7%</t>
  </si>
  <si>
    <t>12% a.a.</t>
  </si>
  <si>
    <t>5% a.a.</t>
  </si>
  <si>
    <t>NomeCompletoCliente</t>
  </si>
  <si>
    <t>NomeCliente</t>
  </si>
  <si>
    <t>SobrenomeCliente</t>
  </si>
  <si>
    <t>EmailCliente</t>
  </si>
  <si>
    <t>Banker</t>
  </si>
  <si>
    <t>NomePronomeBanker</t>
  </si>
  <si>
    <t>Moderada</t>
  </si>
  <si>
    <t>Conservadora</t>
  </si>
  <si>
    <t>Agressiva</t>
  </si>
  <si>
    <t>RETORNO ABSOLUTO (-0.14%)INFLAÇÃO (1.3%)</t>
  </si>
  <si>
    <t>NTN-B 15/08/2028 (1.41%)NTN-B 15/08/2026 (1.78%)</t>
  </si>
  <si>
    <t>ENGIA3 - Deb. ENERGISA CDI+1,20% Vencto.: 25/08/2025 - Não Isento (-7.07%)RLOG11 - Deb. COSAN CDI+1,73% Vencto.: 25/08/2025 - Não Isento (-6.6%)</t>
  </si>
  <si>
    <t>Código</t>
  </si>
  <si>
    <t>Tudo bem?</t>
  </si>
  <si>
    <t>Período</t>
  </si>
  <si>
    <t>Carteira</t>
  </si>
  <si>
    <t>No ano:</t>
  </si>
  <si>
    <t>Retorno Financeiro:</t>
  </si>
  <si>
    <t>Estratégias de Destaque:</t>
  </si>
  <si>
    <t>Ativos Promotores:</t>
  </si>
  <si>
    <r>
      <t>Ativos Detratores:</t>
    </r>
    <r>
      <rPr>
        <sz val="11"/>
        <color rgb="FF001B36"/>
        <rFont val="Calibri"/>
        <family val="2"/>
        <scheme val="minor"/>
      </rPr>
      <t xml:space="preserve"> </t>
    </r>
  </si>
  <si>
    <t>Principais indicadores:</t>
  </si>
  <si>
    <t>Att.,</t>
  </si>
  <si>
    <t>Offshore</t>
  </si>
  <si>
    <t>IBOVESPA</t>
  </si>
  <si>
    <t>Carteira vs. Benchmark</t>
  </si>
  <si>
    <t>7% a.a.</t>
  </si>
  <si>
    <t>0,89%</t>
  </si>
  <si>
    <t xml:space="preserve"> </t>
  </si>
  <si>
    <t>Em julho nao tivemos ativos detratores</t>
  </si>
  <si>
    <t/>
  </si>
  <si>
    <t>IPCA + 6%</t>
  </si>
  <si>
    <t>Março</t>
  </si>
  <si>
    <t>0,37%</t>
  </si>
  <si>
    <t>1,19%</t>
  </si>
  <si>
    <t>Locais: CDI: +0,96%, Ibovespa: +6,08%, Prefixados (IRF-M): +1,39%, Ativos IPCA (IMA-B): +1,84%, Imobiliários (IFIX): +6,14%, Dólar (Ptax): -1,82%, Multimercados (IHFA): +0,06%</t>
  </si>
  <si>
    <t>Internacionais: MSCI AC: -4,15%, S&amp;P 500 -5,75%, Euro Stoxx 600 -4,18%, MSCI China +1,95%, MSCI EM +0,38%, Ouro +9,26%, Petróleo BRENT +2,25%, Minério de ferro -4,11% e Bitcoin (IBIT) -2,28%</t>
  </si>
  <si>
    <t>Obs.: Eventuais ajustes retroativos do IPCA, após a divulgação oficial do indicador, podem impactar marginalmente a rentabilidade do portfólio no mês anterior.</t>
  </si>
  <si>
    <t>2,1%</t>
  </si>
  <si>
    <t>Previdência</t>
  </si>
  <si>
    <t>Alternativos</t>
  </si>
  <si>
    <t>Alternativos Offshore</t>
  </si>
  <si>
    <t>Consolidada</t>
  </si>
  <si>
    <t>0,92%</t>
  </si>
  <si>
    <t>3,24%</t>
  </si>
  <si>
    <t>%</t>
  </si>
  <si>
    <t xml:space="preserve"> e </t>
  </si>
  <si>
    <t>-7,83%</t>
  </si>
  <si>
    <t>-5,84%</t>
  </si>
  <si>
    <t>0,51%</t>
  </si>
  <si>
    <t>1,65%</t>
  </si>
  <si>
    <t>EQUITIES (-7.81%) e -</t>
  </si>
  <si>
    <t>ANHEUSER-BUSCH INBEV - BUD (2.87%) e ANHEUSER - manual (2.87%)</t>
  </si>
  <si>
    <t>0,66%</t>
  </si>
  <si>
    <t>1,85%</t>
  </si>
  <si>
    <t>INFLAÇÃO (2.14%) e RENDA VARIÁVEL (3.76%)</t>
  </si>
  <si>
    <t>OCEANA LONG BIASED ADVISORY FC FI MULTI (3.83%) e SQUADRA LB ADVISORY XP FC FIA (4.35%)</t>
  </si>
  <si>
    <t>0,72%</t>
  </si>
  <si>
    <t>PRÉ FIXADO (1.0%) e PÓS FIXADO (1.01%)</t>
  </si>
  <si>
    <t>CRI DASA CDI+0.8% Vencto.: 15/10/2027 - Isento (1.18%) e CRA ATACADÃO CDI+0.55% Vencto.: 17/08/2026 - isento MtM (1.18%)</t>
  </si>
  <si>
    <t>-1,57%</t>
  </si>
  <si>
    <t>LIQUID ALTERNATIVES (-0.44%) e CASH (-0.0%)</t>
  </si>
  <si>
    <t>JUPITER GLOBAL EQUITY ABSOLUTE RETURN (1.16%) e VANGUARD EMERGING MARKETS ETF (VFEA) (1.43%)</t>
  </si>
  <si>
    <t>4,75%</t>
  </si>
  <si>
    <t>3,3%</t>
  </si>
  <si>
    <t>FIXED INCOME (0.07%) e CASH (98.08%)</t>
  </si>
  <si>
    <t>-0,76%</t>
  </si>
  <si>
    <t>EQUITIES (-5.0%) e FIXED INCOME (-0.69%)</t>
  </si>
  <si>
    <t>iSHARES $ TIPS UCITS ETF (1.02%) e VANGUARD EMERGING MARKETS ETF (VFEA) (1.43%)</t>
  </si>
  <si>
    <t>3,1%</t>
  </si>
  <si>
    <t>INFLAÇÃO (1.3%) e RENDA VARIÁVEL (4.09%)</t>
  </si>
  <si>
    <t>META - manual (-13.74%) e META PLATFORMS - META (-13.67%)</t>
  </si>
  <si>
    <t>ALLOCATION GLOBAL EQUITIES FI MULT IE (-7.57%) e ALLOCATION RETORNO ABSOLUTO - FC FI MULT (-0.38%)</t>
  </si>
  <si>
    <t>ALLOCATION RETORNO ABSOLUTO - FC FI MULT (-0.38%) e CRA RAÍZEN 102.9% CDI vencto.: 17/03/2025 - isento MtM (0.39%)</t>
  </si>
  <si>
    <t>BLACKROCK WORLD TECHNOLOGY FUND A2 (-11.23%) e URNJ - SPROTT JUNIOR URANIUM MINERS ETF (-8.94%)</t>
  </si>
  <si>
    <t>URNJ - SPROTT JUNIOR URANIUM MINERS ETF (-8.94%) e URNM - SPROTT URANIUM MINERS ETF (-6.67%)</t>
  </si>
  <si>
    <t>ALLOCATION RETORNO ABSOLUTO - FC FI MULT (-0.38%) e PIMCO INCOME FC FI MULTIMERCADO INV EXT (0.73%)</t>
  </si>
  <si>
    <t>Obs.: Rendimentos e proventos pagos por alguns ativos podem ocorrer de forma retroativa gerando um impacto positivo e marginal no desempenho da carteira do mês vigente.</t>
  </si>
  <si>
    <t>1,27%</t>
  </si>
  <si>
    <t>3,22%</t>
  </si>
  <si>
    <t>RENDA VARIÁVEL (4.06%) e ALTERNATIVOS ILÍQUIDOS (4.93%)</t>
  </si>
  <si>
    <t>SPX LONG BIAS XP SEGUROS PREV FC FI MULT (4.48%) e ALLOCATION ALTERNATIVOS PE/VC FIP (4.93%)</t>
  </si>
  <si>
    <t>BITH11 (-4.81%) e CRI MOVIDA IPCA+7% VENCTO: 16/06/2028 - Isento MtM (-0.26%)</t>
  </si>
  <si>
    <t>3,14%</t>
  </si>
  <si>
    <t>6,64%</t>
  </si>
  <si>
    <t>6,08%</t>
  </si>
  <si>
    <t>8,29%</t>
  </si>
  <si>
    <t>RENDA VARIÁVEL (3.16%) e -</t>
  </si>
  <si>
    <t>ABSOLUTO PARTNERS II ACCESS FIC FI ACOES (4.35%) e BRASIL CAPITAL 30 ADVISORY FC FIA (6.65%)</t>
  </si>
  <si>
    <t>DCG ADVISORY I FC FIA (-0.8%) e HIX CAPITAL ADV FC FIA (2.41%)</t>
  </si>
  <si>
    <t>1,07%</t>
  </si>
  <si>
    <t>2,31%</t>
  </si>
  <si>
    <t>RENDA VARIÁVEL (3.27%) e ALTERNATIVOS ILÍQUIDOS (4.93%)</t>
  </si>
  <si>
    <t>OCEANA LB ADV XP SEGUROS PREV FC FI MULT (3.68%) e ALLOCATION ALTERNATIVOS PE/VC FIP (4.93%)</t>
  </si>
  <si>
    <t>HASH11 (-8.01%) e ALLOCATION RETORNO ABSOLUTO - FC FI MULT (-0.38%)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</si>
  <si>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</si>
  <si>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</si>
  <si>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</si>
  <si>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</si>
  <si>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</si>
  <si>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</si>
  <si>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</si>
  <si>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</si>
  <si>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</si>
  <si>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</si>
  <si>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</si>
  <si>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</si>
  <si>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</si>
  <si>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</si>
  <si>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>oo</t>
  </si>
  <si>
    <t>pp</t>
  </si>
  <si>
    <t>qq</t>
  </si>
  <si>
    <t>rr</t>
  </si>
  <si>
    <t>ss</t>
  </si>
  <si>
    <t>tt</t>
  </si>
  <si>
    <t>uu</t>
  </si>
  <si>
    <t>ww</t>
  </si>
  <si>
    <t>xx</t>
  </si>
  <si>
    <t>yy</t>
  </si>
  <si>
    <t>zz</t>
  </si>
  <si>
    <t>aaa</t>
  </si>
  <si>
    <t>bbb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</si>
  <si>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</si>
  <si>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</si>
  <si>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</si>
  <si>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</si>
  <si>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</si>
  <si>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</si>
  <si>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</si>
  <si>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</si>
  <si>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</si>
  <si>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</si>
  <si>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</si>
  <si>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</si>
  <si>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</si>
  <si>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</si>
  <si>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</si>
  <si>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</si>
  <si>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</si>
  <si>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</si>
  <si>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</si>
  <si>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</si>
  <si>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</si>
  <si>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</si>
  <si>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</si>
  <si>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</si>
  <si>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</si>
  <si>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</si>
  <si>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</si>
  <si>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</si>
  <si>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</si>
  <si>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</si>
  <si>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</si>
  <si>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</si>
  <si>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</si>
  <si>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</si>
  <si>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</si>
  <si>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</si>
  <si>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</si>
  <si>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</si>
  <si>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</si>
  <si>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</si>
  <si>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</si>
  <si>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</si>
  <si>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</si>
  <si>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</si>
  <si>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</si>
  <si>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wwww</t>
  </si>
  <si>
    <t>xxxx</t>
  </si>
  <si>
    <t>yyyy</t>
  </si>
  <si>
    <t>zzzz</t>
  </si>
  <si>
    <t>aaaaa</t>
  </si>
  <si>
    <t>bbbbb</t>
  </si>
  <si>
    <t>ccccc</t>
  </si>
  <si>
    <t>ddddd</t>
  </si>
  <si>
    <t>eeeee</t>
  </si>
  <si>
    <t>fffff</t>
  </si>
  <si>
    <t>ggggg</t>
  </si>
  <si>
    <t>hhhhh</t>
  </si>
  <si>
    <t>iiiii</t>
  </si>
  <si>
    <t>jjjjj</t>
  </si>
  <si>
    <t>kkkkk</t>
  </si>
  <si>
    <t>lllll</t>
  </si>
  <si>
    <t>mmmmm</t>
  </si>
  <si>
    <t>nnnnn</t>
  </si>
  <si>
    <t>ooooo</t>
  </si>
  <si>
    <t>ppppp</t>
  </si>
  <si>
    <t>qqqqq</t>
  </si>
  <si>
    <t>rrrrr</t>
  </si>
  <si>
    <t>sssss</t>
  </si>
  <si>
    <t>ttttt</t>
  </si>
  <si>
    <t>uuuuu</t>
  </si>
  <si>
    <t>vvvvv</t>
  </si>
  <si>
    <t>wwwww</t>
  </si>
  <si>
    <t>xxxxx</t>
  </si>
  <si>
    <t>yyyyy</t>
  </si>
  <si>
    <t>zzzzz</t>
  </si>
  <si>
    <t>aaaaaa</t>
  </si>
  <si>
    <t>bbbbbb</t>
  </si>
  <si>
    <t>cccccc</t>
  </si>
  <si>
    <t>dddddd</t>
  </si>
  <si>
    <t>eeeeee</t>
  </si>
  <si>
    <t>ffffff</t>
  </si>
  <si>
    <t>gggggg</t>
  </si>
  <si>
    <t>hhhhhh</t>
  </si>
  <si>
    <t>iiiiii</t>
  </si>
  <si>
    <t>jjjjjj</t>
  </si>
  <si>
    <t>kkkkkk</t>
  </si>
  <si>
    <t>llllll</t>
  </si>
  <si>
    <t>mmmmmm</t>
  </si>
  <si>
    <t>nnnnnn</t>
  </si>
  <si>
    <t>oooooo</t>
  </si>
  <si>
    <t>pppppp</t>
  </si>
  <si>
    <t>qqqqqq</t>
  </si>
  <si>
    <t>rrrrrr</t>
  </si>
  <si>
    <t>ssssss</t>
  </si>
  <si>
    <t>tttttt</t>
  </si>
  <si>
    <t>uuuuuu</t>
  </si>
  <si>
    <t>vvvvvv</t>
  </si>
  <si>
    <t>wwwwww</t>
  </si>
  <si>
    <t>xxxxxx</t>
  </si>
  <si>
    <t>yyyyyy</t>
  </si>
  <si>
    <t>zzzzzz</t>
  </si>
  <si>
    <t>Estag 1</t>
  </si>
  <si>
    <t>Estag 2</t>
  </si>
  <si>
    <t>Estag 3</t>
  </si>
  <si>
    <t>Estag 4</t>
  </si>
  <si>
    <t>cliente</t>
  </si>
  <si>
    <t>Nessa coluna, "cliente" significa que a carteira leva o nome do cliente</t>
  </si>
  <si>
    <t>Nome Cliente</t>
  </si>
  <si>
    <t>Banker 1</t>
  </si>
  <si>
    <t>Banker 2</t>
  </si>
  <si>
    <t>Banker 3</t>
  </si>
  <si>
    <t>Banker 4</t>
  </si>
  <si>
    <t>Banker 5</t>
  </si>
  <si>
    <t>Banker 6</t>
  </si>
  <si>
    <t>Banker 7</t>
  </si>
  <si>
    <t>Banker 8</t>
  </si>
  <si>
    <t>Banker 9</t>
  </si>
  <si>
    <t>Banker 10</t>
  </si>
  <si>
    <t>EmailEmail</t>
  </si>
  <si>
    <t>Email 1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</si>
  <si>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</si>
  <si>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</si>
  <si>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</si>
  <si>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</si>
  <si>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</si>
  <si>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</si>
  <si>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</si>
  <si>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</si>
  <si>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</si>
  <si>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Código carteira smart</t>
  </si>
  <si>
    <t>Nome cliente</t>
  </si>
  <si>
    <t>Nome carteira</t>
  </si>
  <si>
    <t>Estratégia carteira</t>
  </si>
  <si>
    <t>Benchmark</t>
  </si>
  <si>
    <t>Moderada (IPCA + 5%)</t>
  </si>
  <si>
    <t>Offshore (5% a.a.)</t>
  </si>
  <si>
    <t>Moderada (CDI)</t>
  </si>
  <si>
    <t>Agressiva (IBOVESPA)</t>
  </si>
  <si>
    <t>Offshore (7% a.a.)</t>
  </si>
  <si>
    <t>Conservadora (IPCA + 3%)</t>
  </si>
  <si>
    <t>Conservadora (CDI)</t>
  </si>
  <si>
    <t>Moderada (IPCA + 6%)</t>
  </si>
  <si>
    <t>Agressiva (IPCA + 7%)</t>
  </si>
  <si>
    <t>Moderada (12% a.a.)</t>
  </si>
  <si>
    <t xml:space="preserve">Vinicius Maciel </t>
  </si>
  <si>
    <t>Helena</t>
  </si>
  <si>
    <t>Miranda</t>
  </si>
  <si>
    <t>helenamirandafm@gmail.com</t>
  </si>
  <si>
    <t>Helena Miranda</t>
  </si>
  <si>
    <t>Vinicius</t>
  </si>
  <si>
    <t>Maciel</t>
  </si>
  <si>
    <t>macielflorv@gmail.com</t>
  </si>
  <si>
    <t>Fernandito</t>
  </si>
  <si>
    <t xml:space="preserve">Renato </t>
  </si>
  <si>
    <t>Vinicius Maciel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</si>
</sst>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$-409]#,##0.00"/>
    <numFmt numFmtId="165" formatCode="&quot;R$&quot;\ #,##0.00"/>
    <numFmt numFmtId="166" formatCode="0.00000000"/>
    <numFmt numFmtId="167" formatCode="0.00\ &quot;p.p.&quot;"/>
    <numFmt numFmtId="168" formatCode="0.0000%"/>
  </numFmts>
  <fonts count="23" x14ac:knownFonts="1"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1B36"/>
      <name val="Calibri"/>
      <family val="2"/>
      <scheme val="minor"/>
    </font>
    <font>
      <sz val="11"/>
      <color rgb="FF001B36"/>
      <name val="Calibri"/>
      <family val="2"/>
      <scheme val="minor"/>
    </font>
    <font>
      <i/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1B36"/>
      <name val="Aptos Narrow"/>
      <family val="2"/>
    </font>
    <font>
      <sz val="11"/>
      <color rgb="FF000000"/>
      <name val="Aptos Narrow"/>
      <family val="2"/>
    </font>
    <font>
      <b/>
      <sz val="8"/>
      <color rgb="FF05305F"/>
      <name val="Arial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1B3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9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3" borderId="2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quotePrefix="1" applyFont="1" applyFill="1" applyAlignment="1">
      <alignment vertical="center"/>
    </xf>
    <xf numFmtId="0" fontId="0" fillId="5" borderId="0" xfId="0" applyFill="1"/>
    <xf numFmtId="0" fontId="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9" fontId="7" fillId="7" borderId="9" xfId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0" fontId="0" fillId="0" borderId="0" xfId="1" applyNumberFormat="1" applyFont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0" fontId="0" fillId="0" borderId="0" xfId="0" quotePrefix="1" applyAlignment="1">
      <alignment vertical="center"/>
    </xf>
    <xf numFmtId="165" fontId="0" fillId="0" borderId="0" xfId="2" applyNumberFormat="1" applyFont="1" applyFill="1" applyBorder="1" applyAlignment="1">
      <alignment horizontal="left" vertical="center" indent="1"/>
    </xf>
    <xf numFmtId="164" fontId="0" fillId="0" borderId="0" xfId="2" applyNumberFormat="1" applyFont="1" applyFill="1" applyBorder="1" applyAlignment="1">
      <alignment vertical="center"/>
    </xf>
    <xf numFmtId="164" fontId="0" fillId="0" borderId="0" xfId="2" applyNumberFormat="1" applyFont="1" applyFill="1" applyBorder="1" applyAlignment="1">
      <alignment horizontal="center" vertical="center"/>
    </xf>
    <xf numFmtId="164" fontId="0" fillId="0" borderId="10" xfId="2" applyNumberFormat="1" applyFont="1" applyFill="1" applyBorder="1" applyAlignment="1">
      <alignment vertical="center"/>
    </xf>
    <xf numFmtId="0" fontId="0" fillId="0" borderId="0" xfId="0" quotePrefix="1" applyAlignment="1">
      <alignment horizontal="left" vertical="center" indent="1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9" fontId="0" fillId="0" borderId="0" xfId="1" applyFont="1"/>
    <xf numFmtId="10" fontId="0" fillId="8" borderId="2" xfId="0" quotePrefix="1" applyNumberFormat="1" applyFill="1" applyBorder="1" applyAlignment="1">
      <alignment horizontal="center"/>
    </xf>
    <xf numFmtId="0" fontId="0" fillId="0" borderId="0" xfId="3" applyNumberFormat="1" applyFont="1"/>
    <xf numFmtId="0" fontId="0" fillId="0" borderId="0" xfId="0" applyAlignment="1">
      <alignment wrapText="1"/>
    </xf>
    <xf numFmtId="0" fontId="15" fillId="9" borderId="0" xfId="0" applyFont="1" applyFill="1"/>
    <xf numFmtId="0" fontId="13" fillId="0" borderId="0" xfId="0" applyFont="1" applyAlignment="1">
      <alignment horizontal="left" vertical="center" indent="1"/>
    </xf>
    <xf numFmtId="10" fontId="13" fillId="10" borderId="12" xfId="0" applyNumberFormat="1" applyFont="1" applyFill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0" fillId="3" borderId="2" xfId="0" applyFill="1" applyBorder="1" applyAlignment="1">
      <alignment vertical="top"/>
    </xf>
    <xf numFmtId="0" fontId="12" fillId="0" borderId="0" xfId="0" applyFont="1" applyAlignment="1">
      <alignment vertical="center"/>
    </xf>
    <xf numFmtId="168" fontId="0" fillId="0" borderId="0" xfId="1" applyNumberFormat="1" applyFont="1"/>
    <xf numFmtId="166" fontId="0" fillId="0" borderId="0" xfId="0" applyNumberFormat="1" applyAlignment="1">
      <alignment vertical="center"/>
    </xf>
    <xf numFmtId="0" fontId="17" fillId="0" borderId="0" xfId="0" applyFont="1" applyAlignment="1">
      <alignment vertical="center"/>
    </xf>
    <xf numFmtId="8" fontId="18" fillId="0" borderId="0" xfId="0" applyNumberFormat="1" applyFont="1" applyAlignment="1">
      <alignment horizontal="left" vertical="center" indent="1"/>
    </xf>
    <xf numFmtId="0" fontId="18" fillId="0" borderId="0" xfId="0" applyFont="1" applyAlignment="1">
      <alignment vertical="center"/>
    </xf>
    <xf numFmtId="10" fontId="0" fillId="0" borderId="0" xfId="0" applyNumberFormat="1"/>
    <xf numFmtId="167" fontId="0" fillId="0" borderId="2" xfId="1" quotePrefix="1" applyNumberFormat="1" applyFont="1" applyFill="1" applyBorder="1" applyAlignment="1">
      <alignment horizontal="center"/>
    </xf>
    <xf numFmtId="10" fontId="18" fillId="10" borderId="12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left" vertical="center"/>
    </xf>
    <xf numFmtId="164" fontId="0" fillId="0" borderId="0" xfId="2" applyNumberFormat="1" applyFont="1" applyFill="1" applyBorder="1" applyAlignment="1">
      <alignment horizontal="center"/>
    </xf>
    <xf numFmtId="165" fontId="18" fillId="0" borderId="0" xfId="2" applyNumberFormat="1" applyFont="1" applyAlignment="1">
      <alignment horizontal="left" vertical="top"/>
    </xf>
    <xf numFmtId="165" fontId="0" fillId="0" borderId="0" xfId="2" applyNumberFormat="1" applyFont="1" applyFill="1" applyBorder="1" applyAlignment="1">
      <alignment vertical="center"/>
    </xf>
    <xf numFmtId="0" fontId="0" fillId="0" borderId="0" xfId="0" quotePrefix="1"/>
    <xf numFmtId="4" fontId="19" fillId="0" borderId="0" xfId="0" applyNumberFormat="1" applyFont="1"/>
    <xf numFmtId="1" fontId="0" fillId="8" borderId="2" xfId="1" quotePrefix="1" applyNumberFormat="1" applyFont="1" applyFill="1" applyBorder="1" applyAlignment="1">
      <alignment horizontal="center"/>
    </xf>
    <xf numFmtId="0" fontId="3" fillId="0" borderId="0" xfId="0" applyFont="1"/>
    <xf numFmtId="165" fontId="0" fillId="0" borderId="0" xfId="2" quotePrefix="1" applyNumberFormat="1" applyFont="1" applyFill="1" applyBorder="1" applyAlignment="1">
      <alignment horizontal="left" vertical="center"/>
    </xf>
    <xf numFmtId="165" fontId="0" fillId="0" borderId="0" xfId="2" quotePrefix="1" applyNumberFormat="1" applyFont="1" applyFill="1" applyBorder="1" applyAlignment="1">
      <alignment vertical="center"/>
    </xf>
    <xf numFmtId="0" fontId="1" fillId="11" borderId="3" xfId="0" applyFont="1" applyFill="1" applyBorder="1" applyAlignment="1">
      <alignment horizontal="center" vertical="center"/>
    </xf>
    <xf numFmtId="0" fontId="0" fillId="11" borderId="0" xfId="0" applyFill="1"/>
    <xf numFmtId="0" fontId="12" fillId="0" borderId="0" xfId="0" applyFont="1"/>
    <xf numFmtId="0" fontId="14" fillId="0" borderId="0" xfId="0" applyFont="1"/>
    <xf numFmtId="0" fontId="0" fillId="0" borderId="13" xfId="0" applyBorder="1"/>
    <xf numFmtId="0" fontId="0" fillId="11" borderId="11" xfId="0" applyFill="1" applyBorder="1"/>
    <xf numFmtId="0" fontId="0" fillId="11" borderId="1" xfId="0" applyFill="1" applyBorder="1"/>
    <xf numFmtId="0" fontId="0" fillId="11" borderId="0" xfId="0" applyFill="1" applyAlignment="1">
      <alignment horizontal="center"/>
    </xf>
    <xf numFmtId="9" fontId="0" fillId="0" borderId="0" xfId="0" applyNumberFormat="1" applyAlignment="1">
      <alignment vertical="center"/>
    </xf>
    <xf numFmtId="0" fontId="0" fillId="0" borderId="0" xfId="1" applyNumberFormat="1" applyFont="1"/>
    <xf numFmtId="0" fontId="21" fillId="0" borderId="0" xfId="0" applyFont="1" applyAlignment="1">
      <alignment horizontal="right"/>
    </xf>
    <xf numFmtId="0" fontId="14" fillId="12" borderId="0" xfId="0" applyFont="1" applyFill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3" applyNumberFormat="1" applyFont="1"/>
    <xf numFmtId="0" fontId="0" fillId="3" borderId="0" xfId="0" applyFill="1" applyAlignment="1">
      <alignment horizontal="left"/>
    </xf>
    <xf numFmtId="0" fontId="0" fillId="13" borderId="0" xfId="0" applyFill="1"/>
    <xf numFmtId="0" fontId="0" fillId="3" borderId="0" xfId="0" applyFill="1"/>
    <xf numFmtId="9" fontId="0" fillId="0" borderId="0" xfId="0" applyNumberFormat="1" applyAlignment="1">
      <alignment horizontal="left"/>
    </xf>
    <xf numFmtId="9" fontId="4" fillId="0" borderId="0" xfId="1" applyFont="1"/>
    <xf numFmtId="0" fontId="22" fillId="0" borderId="0" xfId="4" applyAlignment="1">
      <alignment horizontal="center"/>
    </xf>
    <xf numFmtId="0" fontId="6" fillId="5" borderId="7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" fillId="2" borderId="6" xfId="0" applyFont="1" applyFill="1" applyBorder="1" applyAlignment="1">
      <alignment horizontal="center" vertical="center"/>
    </xf>
  </cellXfs>
  <cellStyles count="5">
    <cellStyle name="Hiperlink" xfId="4" builtinId="8"/>
    <cellStyle name="Moeda" xfId="2" builtinId="4"/>
    <cellStyle name="Normal" xfId="0" builtinId="0"/>
    <cellStyle name="Porcentagem" xfId="1" builtinId="5"/>
    <cellStyle name="Vírgula" xfId="3" builtinId="3"/>
  </cellStyles>
  <dxfs count="29">
    <dxf>
      <font>
        <color rgb="FF9C0006"/>
      </font>
    </dxf>
    <dxf>
      <font>
        <color rgb="FF9C0006"/>
      </font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fill>
        <patternFill>
          <bgColor rgb="FFFF0000"/>
        </patternFill>
      </fill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4" formatCode="[$$-409]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3</xdr:row>
          <xdr:rowOff>63500</xdr:rowOff>
        </xdr:from>
        <xdr:to>
          <xdr:col>7</xdr:col>
          <xdr:colOff>25400</xdr:colOff>
          <xdr:row>5</xdr:row>
          <xdr:rowOff>63500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Reexibir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177800</xdr:rowOff>
        </xdr:from>
        <xdr:to>
          <xdr:col>7</xdr:col>
          <xdr:colOff>25400</xdr:colOff>
          <xdr:row>2</xdr:row>
          <xdr:rowOff>177800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Ocultar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</xdr:row>
          <xdr:rowOff>177800</xdr:rowOff>
        </xdr:from>
        <xdr:to>
          <xdr:col>7</xdr:col>
          <xdr:colOff>25400</xdr:colOff>
          <xdr:row>7</xdr:row>
          <xdr:rowOff>177800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Preencher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38100</xdr:rowOff>
        </xdr:from>
        <xdr:to>
          <xdr:col>8</xdr:col>
          <xdr:colOff>469900</xdr:colOff>
          <xdr:row>5</xdr:row>
          <xdr:rowOff>38100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Enviar E-mail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macielflorv@gmail.com" TargetMode="External"/><Relationship Id="rId1" Type="http://schemas.openxmlformats.org/officeDocument/2006/relationships/hyperlink" Target="mailto:helenamirandaf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2B30-E2B6-4682-84B5-2361E435AD55}">
  <sheetPr codeName="Planilha1"/>
  <dimension ref="B2:AD1077"/>
  <sheetViews>
    <sheetView showGridLines="0" zoomScale="101" zoomScaleNormal="100" workbookViewId="0">
      <selection activeCell="D15" sqref="D15"/>
    </sheetView>
  </sheetViews>
  <sheetFormatPr baseColWidth="10" defaultColWidth="8.83203125" defaultRowHeight="15" x14ac:dyDescent="0.2"/>
  <cols>
    <col min="1" max="1" width="9.1640625" customWidth="1"/>
    <col min="2" max="2" width="22.6640625" customWidth="1"/>
    <col min="3" max="3" width="29.6640625" customWidth="1"/>
    <col min="4" max="4" width="28.83203125" customWidth="1"/>
    <col min="5" max="5" width="21.6640625" customWidth="1"/>
    <col min="6" max="7" width="10.1640625" bestFit="1" customWidth="1"/>
    <col min="8" max="8" width="13.33203125" bestFit="1" customWidth="1"/>
    <col min="9" max="9" width="13.6640625" bestFit="1" customWidth="1"/>
    <col min="11" max="11" width="33.33203125" bestFit="1" customWidth="1"/>
    <col min="15" max="17" width="24.5" customWidth="1"/>
  </cols>
  <sheetData>
    <row r="2" spans="2:14" x14ac:dyDescent="0.2">
      <c r="B2" s="1" t="s">
        <v>0</v>
      </c>
      <c r="C2" s="44">
        <v>13401</v>
      </c>
      <c r="D2" s="7"/>
    </row>
    <row r="3" spans="2:14" x14ac:dyDescent="0.2">
      <c r="B3" s="1" t="s">
        <v>1</v>
      </c>
      <c r="C3" s="89" t="s">
        <v>50</v>
      </c>
      <c r="D3" s="89"/>
      <c r="K3" s="46"/>
    </row>
    <row r="4" spans="2:14" x14ac:dyDescent="0.2">
      <c r="B4" s="1" t="s">
        <v>2</v>
      </c>
      <c r="C4" s="89">
        <v>2025</v>
      </c>
      <c r="D4" s="89"/>
    </row>
    <row r="5" spans="2:14" x14ac:dyDescent="0.2">
      <c r="B5" s="1" t="s">
        <v>3</v>
      </c>
      <c r="C5" s="88" t="e">
        <f>+VLOOKUP(C2,'Base Consolidada'!A2:G846,5,FALSE)</f>
        <v>#N/A</v>
      </c>
      <c r="D5" s="88"/>
    </row>
    <row r="6" spans="2:14" x14ac:dyDescent="0.2">
      <c r="B6" s="2" t="s">
        <v>4</v>
      </c>
      <c r="C6" s="88" t="str">
        <f>"MMZR Family Office | Desempenho " &amp; PROPER(C3) &amp;" de " &amp;C4</f>
        <v>MMZR Family Office | Desempenho Março de 2025</v>
      </c>
      <c r="D6" s="88"/>
    </row>
    <row r="7" spans="2:14" x14ac:dyDescent="0.2">
      <c r="B7" s="2" t="s">
        <v>5</v>
      </c>
      <c r="C7" s="87" t="e">
        <f>+VLOOKUP(C2,'Base Consolidada'!A2:H846,4,FALSE)</f>
        <v>#N/A</v>
      </c>
      <c r="D7" s="88"/>
    </row>
    <row r="8" spans="2:14" x14ac:dyDescent="0.2">
      <c r="B8" s="2" t="s">
        <v>6</v>
      </c>
      <c r="C8" s="87" t="e">
        <f>+VLOOKUP(C2,'Base Consolidada'!A2:G846,7,FALSE)</f>
        <v>#N/A</v>
      </c>
      <c r="D8" s="88"/>
    </row>
    <row r="9" spans="2:14" x14ac:dyDescent="0.2">
      <c r="B9" s="2" t="s">
        <v>7</v>
      </c>
      <c r="C9" s="90"/>
      <c r="D9" s="91"/>
    </row>
    <row r="11" spans="2:14" x14ac:dyDescent="0.2">
      <c r="B11" s="3" t="s">
        <v>8</v>
      </c>
      <c r="C11" s="7" t="str">
        <f>VLOOKUP(C2,'Base Nova'!A2:B1080,2,)</f>
        <v>cliente</v>
      </c>
      <c r="D11" s="7"/>
    </row>
    <row r="12" spans="2:14" x14ac:dyDescent="0.2">
      <c r="E12" s="66"/>
      <c r="F12" s="66"/>
    </row>
    <row r="13" spans="2:14" x14ac:dyDescent="0.2">
      <c r="B13" s="95" t="s">
        <v>30</v>
      </c>
      <c r="C13" s="8" cm="1">
        <f t="array" ref="C13">IF(ROW()-ROW($C$13)+1&lt;=$C$11,IFERROR(INDEX('Base Nova'!$A:$A,MATCH($C$2,'Base Nova'!$A:$A,0)+ROW()-ROW($C$13)+1),""),"")</f>
        <v>13410</v>
      </c>
      <c r="D13" t="str">
        <f>IF(ROW()-ROW($C$13)+1&lt;=$C$11,VLOOKUP(C13,'Base Nova'!$A$2:$B$815,2,FALSE),"")</f>
        <v>cliente</v>
      </c>
      <c r="E13" s="70"/>
      <c r="F13" s="66"/>
      <c r="K13" t="str">
        <f t="array" aca="1" ref="K13:K14" ca="1">IFERROR(INDEX(#REF!,PEQUENO(IF(#REF!=$C$2,ROW(#REF!)-_xludf.MIN(ROW(#REF!))+1),ROW(A1))),"")</f>
        <v/>
      </c>
    </row>
    <row r="14" spans="2:14" x14ac:dyDescent="0.2">
      <c r="B14" s="95"/>
      <c r="C14" s="8" cm="1">
        <f t="array" ref="C14">IF(ROW()-ROW($C$13)+1&lt;=$C$11,IFERROR(INDEX('Base Nova'!$A:$A,MATCH($C$2,'Base Nova'!$A:$A,0)+ROW()-ROW($C$13)+1),""),"")</f>
        <v>13407</v>
      </c>
      <c r="D14" t="str">
        <f>IF(ROW()-ROW($C$13)+1&lt;=$C$11,VLOOKUP(C14,'Base Nova'!$A$2:$B$815,2,FALSE),"")</f>
        <v>cliente</v>
      </c>
      <c r="E14" s="70"/>
      <c r="F14" s="66"/>
      <c r="I14" s="37"/>
      <c r="K14" s="62" t="str">
        <f ca="1"/>
        <v/>
      </c>
    </row>
    <row r="15" spans="2:14" x14ac:dyDescent="0.2">
      <c r="B15" s="95"/>
      <c r="C15" s="8" cm="1">
        <f t="array" ref="C15">IF(ROW()-ROW($C$13)+1&lt;=$C$11,IFERROR(INDEX('Base Nova'!$A:$A,MATCH($C$2,'Base Nova'!$A:$A,0)+ROW()-ROW($C$13)+1),""),"")</f>
        <v>13404</v>
      </c>
      <c r="D15" t="str">
        <f>IF(ROW()-ROW($C$13)+1&lt;=$C$11,VLOOKUP(C15,'Base Nova'!$A$2:$B$815,2,FALSE),"")</f>
        <v>cliente</v>
      </c>
      <c r="E15" s="70"/>
      <c r="F15" s="66"/>
      <c r="I15" s="37"/>
      <c r="K15" s="62"/>
      <c r="M15" s="9"/>
    </row>
    <row r="16" spans="2:14" x14ac:dyDescent="0.2">
      <c r="B16" s="95"/>
      <c r="C16" s="8" t="str" cm="1">
        <f t="array" ref="C16">IF(ROW()-ROW($C$13)+1&lt;=$C$11,IFERROR(INDEX('Base Nova'!$A:$A,MATCH($C$2,'Base Nova'!$A:$A,0)+ROW()-ROW($C$13)+1),""),"")</f>
        <v>Nome Cliente</v>
      </c>
      <c r="D16">
        <f>IF(ROW()-ROW($C$13)+1&lt;=$C$11,VLOOKUP(C16,'Base Nova'!$A$2:$B$815,2,FALSE),"")</f>
        <v>2</v>
      </c>
      <c r="E16" s="71"/>
      <c r="F16" s="66"/>
      <c r="I16" s="37"/>
      <c r="J16" t="s">
        <v>46</v>
      </c>
      <c r="K16" s="62" t="str" cm="1">
        <f t="array" ref="K16">IFERROR(INDEX(#REF!,_xlfn.AGGREGATE(15,6,ROW(#REF!)-ROW(#REF!)+1/(#REF!=$C$2),ROW(A1))),"")</f>
        <v/>
      </c>
      <c r="N16" s="59" t="s">
        <v>48</v>
      </c>
    </row>
    <row r="17" spans="2:11" x14ac:dyDescent="0.2">
      <c r="B17" s="95"/>
      <c r="C17" s="8" cm="1">
        <f t="array" ref="C17">IF(ROW()-ROW($C$13)+1&lt;=$C$11,IFERROR(INDEX('Base Nova'!$A:$A,MATCH($C$2,'Base Nova'!$A:$A,0)+ROW()-ROW($C$13)+1),""),"")</f>
        <v>12869</v>
      </c>
      <c r="D17" t="str">
        <f>IF(ROW()-ROW($C$13)+1&lt;=$C$11,VLOOKUP(C17,'Base Nova'!$A$2:$B$815,2,FALSE),"")</f>
        <v>Moderada</v>
      </c>
      <c r="E17" s="71"/>
      <c r="F17" s="66"/>
      <c r="K17" s="62" t="str" cm="1">
        <f t="array" ref="K17">IFERROR(INDEX(#REF!,_xlfn.AGGREGATE(15,6,ROW(#REF!)-ROW(#REF!)+1/(#REF!=$C$2),ROW(A2))),"")</f>
        <v/>
      </c>
    </row>
    <row r="18" spans="2:11" x14ac:dyDescent="0.2">
      <c r="B18" s="95"/>
      <c r="C18" s="8" cm="1">
        <f t="array" ref="C18">IF(ROW()-ROW($C$13)+1&lt;=$C$11,IFERROR(INDEX('Base Nova'!$A:$A,MATCH($C$2,'Base Nova'!$A:$A,0)+ROW()-ROW($C$13)+1),""),"")</f>
        <v>12872</v>
      </c>
      <c r="D18" t="str">
        <f>IF(ROW()-ROW($C$13)+1&lt;=$C$11,VLOOKUP(C18,'Base Nova'!$A$2:$B$815,2,FALSE),"")</f>
        <v>Offshore</v>
      </c>
      <c r="E18" s="70"/>
      <c r="F18" s="66"/>
      <c r="K18" s="62" t="str" cm="1">
        <f t="array" ref="K18">IFERROR(INDEX(#REF!,_xlfn.AGGREGATE(15,6,ROW(#REF!)-ROW(#REF!)+1/(#REF!=$C$2),ROW(A3))),"")</f>
        <v/>
      </c>
    </row>
    <row r="19" spans="2:11" x14ac:dyDescent="0.2">
      <c r="B19" s="3"/>
      <c r="C19" s="8" t="str" cm="1">
        <f t="array" ref="C19">IF(ROW()-ROW($C$13)+1&lt;=$C$11,IFERROR(INDEX('Base Nova'!$A:$A,MATCH($C$2,'Base Nova'!$A:$A,0)+ROW()-ROW($C$13)+1),""),"")</f>
        <v>Nome Cliente</v>
      </c>
      <c r="D19">
        <f>IF(ROW()-ROW($C$13)+1&lt;=$C$11,VLOOKUP(C19,'Base Nova'!$A$2:$B$815,2,FALSE),"")</f>
        <v>2</v>
      </c>
      <c r="E19" s="66"/>
      <c r="F19" s="66"/>
      <c r="K19" s="62"/>
    </row>
    <row r="20" spans="2:11" x14ac:dyDescent="0.2">
      <c r="B20" s="3"/>
      <c r="C20" s="8" cm="1">
        <f t="array" ref="C20">IF(ROW()-ROW($C$13)+1&lt;=$C$11,IFERROR(INDEX('Base Nova'!$A:$A,MATCH($C$2,'Base Nova'!$A:$A,0)+ROW()-ROW($C$13)+1),""),"")</f>
        <v>13560</v>
      </c>
      <c r="D20" t="str">
        <f>IF(ROW()-ROW($C$13)+1&lt;=$C$11,VLOOKUP(C20,'Base Nova'!$A$2:$B$815,2,FALSE),"")</f>
        <v>Moderada</v>
      </c>
      <c r="E20" s="66"/>
      <c r="F20" s="66"/>
      <c r="K20" s="62"/>
    </row>
    <row r="21" spans="2:11" x14ac:dyDescent="0.2">
      <c r="B21" s="3"/>
      <c r="C21" s="8" t="str" cm="1">
        <f t="array" ref="C21">IF(ROW()-ROW($C$13)+1&lt;=$C$11,IFERROR(INDEX('Base Nova'!$A:$A,MATCH($C$2,'Base Nova'!$A:$A,0)+ROW()-ROW($C$13)+1),""),"")</f>
        <v>Nome Cliente</v>
      </c>
      <c r="D21">
        <f>IF(ROW()-ROW($C$13)+1&lt;=$C$11,VLOOKUP(C21,'Base Nova'!$A$2:$B$815,2,FALSE),"")</f>
        <v>2</v>
      </c>
      <c r="E21" s="66"/>
      <c r="F21" s="66"/>
      <c r="K21" s="62"/>
    </row>
    <row r="22" spans="2:11" x14ac:dyDescent="0.2">
      <c r="B22" s="3"/>
      <c r="C22" s="8" cm="1">
        <f t="array" ref="C22">IF(ROW()-ROW($C$13)+1&lt;=$C$11,IFERROR(INDEX('Base Nova'!$A:$A,MATCH($C$2,'Base Nova'!$A:$A,0)+ROW()-ROW($C$13)+1),""),"")</f>
        <v>13614</v>
      </c>
      <c r="D22" t="str">
        <f>IF(ROW()-ROW($C$13)+1&lt;=$C$11,VLOOKUP(C22,'Base Nova'!$A$2:$B$815,2,FALSE),"")</f>
        <v>Offshore</v>
      </c>
      <c r="E22" s="66"/>
      <c r="F22" s="66"/>
      <c r="K22" s="62"/>
    </row>
    <row r="23" spans="2:11" x14ac:dyDescent="0.2">
      <c r="C23" s="8" t="str" cm="1">
        <f t="array" ref="C23">IF(ROW()-ROW($C$13)+1&lt;=$C$11,IFERROR(INDEX('Base Nova'!$A:$A,MATCH($C$2,'Base Nova'!$A:$A,0)+ROW()-ROW($C$13)+1),""),"")</f>
        <v>Nome Cliente</v>
      </c>
      <c r="D23">
        <f>IF(ROW()-ROW($C$13)+1&lt;=$C$11,VLOOKUP(C23,'Base Nova'!$A$2:$B$815,2,FALSE),"")</f>
        <v>2</v>
      </c>
      <c r="E23" s="66"/>
      <c r="F23" s="66"/>
      <c r="K23" s="62"/>
    </row>
    <row r="24" spans="2:11" ht="14" customHeight="1" x14ac:dyDescent="0.2">
      <c r="B24" s="95" t="s">
        <v>9</v>
      </c>
      <c r="C24" s="8" t="str">
        <f>+VLOOKUP(C13,'Base Nova'!$A$2:$F$768,5,FALSE)</f>
        <v>Offshore(5% a.a.)</v>
      </c>
      <c r="D24" t="str">
        <f>+VLOOKUP(C13,'Base Nova'!$A$2:$F$768,4,FALSE)</f>
        <v>5% a.a.</v>
      </c>
      <c r="E24" s="94"/>
      <c r="F24" s="92"/>
    </row>
    <row r="25" spans="2:11" x14ac:dyDescent="0.2">
      <c r="B25" s="95"/>
      <c r="C25" s="8" t="str">
        <f>+VLOOKUP(C14,'Base Nova'!$A$2:$F$768,5,FALSE)</f>
        <v>Moderada(IPCA + 5%)</v>
      </c>
      <c r="D25" t="str">
        <f>+VLOOKUP(C14,'Base Nova'!$A$2:$F$768,4,FALSE)</f>
        <v>IPCA + 5%</v>
      </c>
      <c r="E25" s="92"/>
      <c r="F25" s="93"/>
    </row>
    <row r="26" spans="2:11" x14ac:dyDescent="0.2">
      <c r="B26" s="95"/>
      <c r="C26" s="8" t="str">
        <f>+VLOOKUP(C15,'Base Nova'!$A$2:$F$768,5,FALSE)</f>
        <v>Moderada(IPCA + 5%)</v>
      </c>
      <c r="D26" t="str">
        <f>+VLOOKUP(C15,'Base Nova'!$A$2:$F$768,4,FALSE)</f>
        <v>IPCA + 5%</v>
      </c>
      <c r="E26" s="93"/>
      <c r="F26" s="93"/>
    </row>
    <row r="27" spans="2:11" x14ac:dyDescent="0.2">
      <c r="B27" s="95"/>
      <c r="C27" s="8">
        <f>+VLOOKUP(C16,'Base Nova'!$A$2:$F$768,5,FALSE)</f>
        <v>0</v>
      </c>
      <c r="D27">
        <f>+VLOOKUP(C16,'Base Nova'!$A$2:$F$768,4,FALSE)</f>
        <v>0</v>
      </c>
      <c r="E27" s="93"/>
      <c r="F27" s="93"/>
    </row>
    <row r="28" spans="2:11" x14ac:dyDescent="0.2">
      <c r="B28" s="95"/>
      <c r="C28" s="8" t="str">
        <f>+VLOOKUP(C17,'Base Nova'!$A$2:$F$768,5,FALSE)</f>
        <v>Moderada (IPCA + 5%)</v>
      </c>
      <c r="D28" t="str">
        <f>+VLOOKUP(C17,'Base Nova'!$A$2:$F$768,4,FALSE)</f>
        <v>IPCA + 5%</v>
      </c>
      <c r="E28" s="93"/>
      <c r="F28" s="93"/>
    </row>
    <row r="29" spans="2:11" x14ac:dyDescent="0.2">
      <c r="B29" s="95"/>
      <c r="C29" s="8" t="str">
        <f>+VLOOKUP(C18,'Base Nova'!$A$2:$F$768,5,FALSE)</f>
        <v>Offshore(5% a.a.)</v>
      </c>
      <c r="D29" t="str">
        <f>+VLOOKUP(C18,'Base Nova'!$A$2:$F$768,4,FALSE)</f>
        <v>5% a.a.</v>
      </c>
      <c r="E29" s="93"/>
      <c r="F29" s="93"/>
    </row>
    <row r="30" spans="2:11" x14ac:dyDescent="0.2">
      <c r="B30" s="3"/>
      <c r="C30" s="8">
        <f>+VLOOKUP(C19,'Base Nova'!$A$2:$F$768,5,FALSE)</f>
        <v>0</v>
      </c>
      <c r="D30">
        <f>+VLOOKUP(C19,'Base Nova'!$A$2:$F$768,4,FALSE)</f>
        <v>0</v>
      </c>
      <c r="E30" s="72"/>
      <c r="F30" s="72"/>
    </row>
    <row r="31" spans="2:11" x14ac:dyDescent="0.2">
      <c r="B31" s="3"/>
      <c r="C31" s="8" t="str">
        <f>+VLOOKUP(C20,'Base Nova'!$A$2:$F$768,5,FALSE)</f>
        <v>Moderada(IPCA + 5%)</v>
      </c>
      <c r="D31" t="str">
        <f>+VLOOKUP(C20,'Base Nova'!$A$2:$F$768,4,FALSE)</f>
        <v>IPCA + 5%</v>
      </c>
      <c r="E31" s="72"/>
      <c r="F31" s="72"/>
    </row>
    <row r="32" spans="2:11" x14ac:dyDescent="0.2">
      <c r="B32" s="3"/>
      <c r="C32" s="8">
        <f>+VLOOKUP(C21,'Base Nova'!$A$2:$F$768,5,FALSE)</f>
        <v>0</v>
      </c>
      <c r="D32">
        <f>+VLOOKUP(C21,'Base Nova'!$A$2:$F$768,4,FALSE)</f>
        <v>0</v>
      </c>
      <c r="E32" s="72"/>
      <c r="F32" s="72"/>
    </row>
    <row r="33" spans="2:18" x14ac:dyDescent="0.2">
      <c r="B33" s="3"/>
      <c r="C33" s="8" t="str">
        <f>+VLOOKUP(C22,'Base Nova'!$A$2:$F$768,5,FALSE)</f>
        <v>Offshore(5% a.a.)</v>
      </c>
      <c r="D33" t="str">
        <f>+VLOOKUP(C22,'Base Nova'!$A$2:$F$768,4,FALSE)</f>
        <v>5% a.a.</v>
      </c>
      <c r="E33" s="72"/>
      <c r="F33" s="72"/>
    </row>
    <row r="34" spans="2:18" x14ac:dyDescent="0.2">
      <c r="C34" s="8">
        <f>+VLOOKUP(C23,'Base Nova'!$A$2:$F$768,5,FALSE)</f>
        <v>0</v>
      </c>
      <c r="D34">
        <f>+VLOOKUP(C23,'Base Nova'!$A$2:$F$768,4,FALSE)</f>
        <v>0</v>
      </c>
      <c r="E34" s="66"/>
      <c r="F34" s="66"/>
    </row>
    <row r="35" spans="2:18" x14ac:dyDescent="0.2">
      <c r="B35" s="31"/>
      <c r="E35" s="29"/>
      <c r="F35" s="29"/>
    </row>
    <row r="36" spans="2:18" x14ac:dyDescent="0.2">
      <c r="B36" s="31"/>
      <c r="E36" s="29"/>
      <c r="F36" s="29"/>
    </row>
    <row r="37" spans="2:18" x14ac:dyDescent="0.2">
      <c r="B37" s="65"/>
      <c r="E37" s="29"/>
      <c r="F37" s="29"/>
    </row>
    <row r="38" spans="2:18" x14ac:dyDescent="0.2">
      <c r="B38" s="31"/>
      <c r="E38" s="30"/>
      <c r="F38" s="29"/>
    </row>
    <row r="39" spans="2:18" x14ac:dyDescent="0.2">
      <c r="B39" s="31"/>
      <c r="E39" s="30"/>
      <c r="F39" s="29"/>
    </row>
    <row r="40" spans="2:18" ht="19" hidden="1" x14ac:dyDescent="0.25">
      <c r="B40" s="39" t="e" cm="1">
        <f t="array" ref="B40">+_xlfn.IFS(C2="Alexandre Ferraz","DRAWDOWN",C2="Denis Bianco","DRAWDOWN",C2="Felipe Pinho","DRAWDOWN")</f>
        <v>#N/A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3" spans="2:18" ht="19" x14ac:dyDescent="0.2">
      <c r="B43" s="10" t="str">
        <f>"Desempenho " &amp; C3 &amp; " de " &amp;C4 &amp; " | " &amp;C2</f>
        <v>Desempenho Março de 2025 | 13401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1"/>
      <c r="N43" s="11"/>
      <c r="O43" s="11"/>
      <c r="P43" s="66"/>
      <c r="Q43" s="66"/>
      <c r="R43" s="66"/>
    </row>
    <row r="44" spans="2:18" x14ac:dyDescent="0.2">
      <c r="I44" s="12"/>
      <c r="J44" s="12"/>
      <c r="K44" s="12"/>
    </row>
    <row r="45" spans="2:18" x14ac:dyDescent="0.2">
      <c r="B45" t="e">
        <f ca="1">_xlfn.XLOOKUP(C2,'Base Consolidada'!A:A,'Base Consolidada'!B:B) &amp; IF(HOUR(NOW()) &lt; 12, ", bom dia!", IF(HOUR(NOW()) &lt; 18, ", boa tarde!", ", boa noite!"))</f>
        <v>#N/A</v>
      </c>
      <c r="K45" s="12"/>
    </row>
    <row r="46" spans="2:18" x14ac:dyDescent="0.2">
      <c r="B46" t="s">
        <v>31</v>
      </c>
      <c r="K46" s="12"/>
    </row>
    <row r="47" spans="2:18" x14ac:dyDescent="0.2">
      <c r="K47" s="12"/>
    </row>
    <row r="48" spans="2:18" x14ac:dyDescent="0.2">
      <c r="B48" t="str">
        <f>"Segue o fechamento de " &amp; LOWER(C3) &amp; " de " &amp; C4 &amp; ":"</f>
        <v>Segue o fechamento de março de 2025:</v>
      </c>
      <c r="K48" s="12"/>
    </row>
    <row r="49" spans="2:30" x14ac:dyDescent="0.2">
      <c r="K49" s="12"/>
    </row>
    <row r="50" spans="2:30" ht="17" thickBot="1" x14ac:dyDescent="0.25">
      <c r="B50" s="86" t="str">
        <f>"Carteira" &amp; " "&amp; VLOOKUP(C13,'Base Nova'!$A$2:$B$3040,2,FALSE)  &amp; " | Performance"</f>
        <v>Carteira cliente | Performance</v>
      </c>
      <c r="C50" s="86"/>
      <c r="D50" s="86"/>
      <c r="E50" s="86"/>
      <c r="F50" s="13"/>
      <c r="G50" s="13"/>
      <c r="H50" s="13"/>
      <c r="I50" s="13"/>
      <c r="J50" s="13"/>
      <c r="K50" s="14"/>
    </row>
    <row r="51" spans="2:30" ht="16" thickTop="1" x14ac:dyDescent="0.2">
      <c r="B51" s="15" t="s">
        <v>32</v>
      </c>
      <c r="C51" s="16" t="s">
        <v>33</v>
      </c>
      <c r="D51" s="17" t="str">
        <f>+"Benchmark:" &amp; " " &amp; D24</f>
        <v>Benchmark: 5% a.a.</v>
      </c>
      <c r="E51" s="16" t="s">
        <v>43</v>
      </c>
      <c r="F51" s="13"/>
      <c r="G51" s="13"/>
      <c r="H51" s="13"/>
      <c r="I51" s="13"/>
      <c r="J51" s="13"/>
      <c r="K51" s="14"/>
    </row>
    <row r="52" spans="2:30" ht="16" thickBot="1" x14ac:dyDescent="0.25">
      <c r="B52" s="18" t="str">
        <f>$C$3 &amp;":"</f>
        <v>Março:</v>
      </c>
      <c r="C52" s="36" t="s">
        <v>96</v>
      </c>
      <c r="D52" s="41" t="s">
        <v>61</v>
      </c>
      <c r="E52" s="61" t="str">
        <f>IF(OR($D$24="IPCA + 5%",$D$24="IPCA + 6%",$D$24="IPCA + 3%", $D$24="IPCA + 7%", $D$24="12% a.a."),TEXT((C52-D52)*100, "0,00 p.p."),IF(OR($D$24="CDI",$D$24="5% a.a.", $D$24="IBOVESPA", $D$24="7% a.a."),IF(C52&lt;0,"-",TEXT((C52/D52), "0,00%")),0))</f>
        <v>138,04%</v>
      </c>
      <c r="F52" s="19"/>
      <c r="I52" s="13"/>
      <c r="J52" s="13"/>
      <c r="K52" s="14"/>
    </row>
    <row r="53" spans="2:30" ht="16" thickBot="1" x14ac:dyDescent="0.25">
      <c r="B53" s="18" t="s">
        <v>34</v>
      </c>
      <c r="C53" s="36" t="s">
        <v>97</v>
      </c>
      <c r="D53" s="41" t="s">
        <v>62</v>
      </c>
      <c r="E53" s="61" t="str">
        <f>IF(OR($D$24="IPCA + 5%",$D$24="IPCA + 6%",$D$24="IPCA + 3%", $D$24="IPCA + 7%", $D$24="12% a.a."),TEXT((C53-D53)*100, "0,00 p.p."),IF(OR($D$24="CDI",$D$24="5% a.a.", $D$24="IBOVESPA", $D$24="7% a.a."),IF(C53&lt;0,"-",TEXT((C53/D53), "0,00%")),0))</f>
        <v>99,38%</v>
      </c>
      <c r="F53" s="19"/>
      <c r="G53" s="20"/>
      <c r="H53" s="13"/>
      <c r="I53" s="13"/>
      <c r="J53" s="13"/>
      <c r="K53" s="14"/>
    </row>
    <row r="54" spans="2:30" x14ac:dyDescent="0.2">
      <c r="B54" s="13"/>
      <c r="C54" s="13"/>
      <c r="D54" s="21"/>
      <c r="E54" s="22"/>
      <c r="F54" s="13"/>
      <c r="G54" s="13"/>
      <c r="H54" s="13"/>
      <c r="I54" s="47"/>
      <c r="J54" s="13"/>
      <c r="K54" s="14"/>
      <c r="S54" s="51"/>
    </row>
    <row r="55" spans="2:30" x14ac:dyDescent="0.2">
      <c r="B55" s="32" t="s">
        <v>35</v>
      </c>
      <c r="C55" s="57">
        <v>549994.73</v>
      </c>
      <c r="D55" s="24"/>
      <c r="E55" s="56"/>
      <c r="F55" s="24"/>
      <c r="G55" s="24"/>
      <c r="H55" s="24"/>
      <c r="I55" s="25"/>
      <c r="J55" s="26"/>
      <c r="K55" s="14"/>
    </row>
    <row r="56" spans="2:30" x14ac:dyDescent="0.2">
      <c r="B56" s="32" t="s">
        <v>36</v>
      </c>
      <c r="C56" s="63" t="s">
        <v>98</v>
      </c>
      <c r="D56" s="13"/>
      <c r="E56" s="13"/>
      <c r="F56" s="13"/>
      <c r="G56" s="13"/>
      <c r="H56" s="13"/>
      <c r="I56" s="13"/>
      <c r="J56" s="13"/>
      <c r="K56" s="14"/>
    </row>
    <row r="57" spans="2:30" x14ac:dyDescent="0.2">
      <c r="B57" s="32" t="s">
        <v>37</v>
      </c>
      <c r="C57" s="63" t="s">
        <v>99</v>
      </c>
      <c r="D57" s="13"/>
      <c r="E57" s="13"/>
      <c r="F57" s="13"/>
      <c r="G57" s="13"/>
      <c r="H57" s="13"/>
      <c r="I57" s="13"/>
      <c r="J57" s="13"/>
      <c r="K57" s="14"/>
    </row>
    <row r="58" spans="2:30" x14ac:dyDescent="0.2">
      <c r="B58" s="32" t="s">
        <v>38</v>
      </c>
      <c r="C58" s="64" t="s">
        <v>100</v>
      </c>
      <c r="D58" s="13"/>
      <c r="E58" s="13"/>
      <c r="F58" s="13"/>
      <c r="H58" s="13"/>
      <c r="I58" s="13"/>
      <c r="J58" s="13"/>
      <c r="K58" s="14"/>
      <c r="AD58" s="58" t="s">
        <v>47</v>
      </c>
    </row>
    <row r="59" spans="2:30" x14ac:dyDescent="0.2">
      <c r="K59" s="14"/>
    </row>
    <row r="60" spans="2:30" ht="17" thickBot="1" x14ac:dyDescent="0.25">
      <c r="B60" s="86" t="str">
        <f>"Carteira" &amp; " "&amp; VLOOKUP(C14,'Base Nova'!$A$2:$B$3040,2,FALSE)  &amp; " | Performance"</f>
        <v>Carteira cliente | Performance</v>
      </c>
      <c r="C60" s="86"/>
      <c r="D60" s="86"/>
      <c r="E60" s="86"/>
      <c r="I60" s="51"/>
      <c r="K60" s="12"/>
    </row>
    <row r="61" spans="2:30" ht="16" thickTop="1" x14ac:dyDescent="0.2">
      <c r="B61" s="15" t="s">
        <v>32</v>
      </c>
      <c r="C61" s="16" t="s">
        <v>33</v>
      </c>
      <c r="D61" s="17" t="str">
        <f>+"Benchmark:" &amp; " " &amp; D25</f>
        <v>Benchmark: IPCA + 5%</v>
      </c>
      <c r="E61" s="16" t="s">
        <v>43</v>
      </c>
      <c r="G61" s="20"/>
      <c r="H61" s="52"/>
      <c r="I61" s="60"/>
      <c r="K61" s="12"/>
    </row>
    <row r="62" spans="2:30" ht="16" thickBot="1" x14ac:dyDescent="0.25">
      <c r="B62" s="18" t="str">
        <f>$C$3 &amp;":"</f>
        <v>Março:</v>
      </c>
      <c r="C62" s="53" t="s">
        <v>101</v>
      </c>
      <c r="D62" s="41" t="s">
        <v>103</v>
      </c>
      <c r="E62" s="61" t="str">
        <f>IF(OR($D$25="IPCA + 5%",$D$25="IPCA + 6%",$D$25="IPCA + 3%", $D$25="IPCA + 7%", $D$25="12% a.a."),TEXT((C62-D62)*100, "0,00 p.p."),IF(OR($D$25="CDI",$D$25="5% a.a.", $D$25="IBOVESPA", $D$25="7% a.a."),IF(C62&lt;0,"-",TEXT((C62/D62), "0,00%")),0))</f>
        <v>-2,94 p.p.</v>
      </c>
      <c r="F62" s="43"/>
      <c r="G62" s="20"/>
      <c r="K62" s="12"/>
    </row>
    <row r="63" spans="2:30" ht="16" thickBot="1" x14ac:dyDescent="0.25">
      <c r="B63" s="18" t="s">
        <v>34</v>
      </c>
      <c r="C63" s="53" t="s">
        <v>102</v>
      </c>
      <c r="D63" s="41" t="s">
        <v>104</v>
      </c>
      <c r="E63" s="61" t="str">
        <f>IF(OR($D$25="IPCA + 5%",$D$25="IPCA + 6%",$D$25="IPCA + 3%", $D$25="IPCA + 7%", $D$25="12% a.a."),TEXT((C63-D63)*100, "0,00 p.p."),IF(OR($D$25="CDI",$D$25="5% a.a.", $D$25="IBOVESPA", $D$25="7% a.a."),IF(C63&lt;0,"-",TEXT((C63/D63), "0,00%")),0))</f>
        <v>-1,65 p.p.</v>
      </c>
      <c r="F63" s="43"/>
      <c r="G63" s="20"/>
      <c r="H63" s="51"/>
      <c r="I63" s="51"/>
      <c r="K63" s="12"/>
    </row>
    <row r="64" spans="2:30" x14ac:dyDescent="0.2">
      <c r="B64" s="13"/>
      <c r="C64" s="43"/>
      <c r="D64" s="42"/>
      <c r="E64" s="43"/>
      <c r="F64" s="42"/>
      <c r="I64" s="60"/>
      <c r="K64" s="12"/>
    </row>
    <row r="65" spans="2:11" x14ac:dyDescent="0.2">
      <c r="B65" s="32" t="s">
        <v>35</v>
      </c>
      <c r="C65" s="57">
        <v>86863.1</v>
      </c>
      <c r="D65" s="43"/>
      <c r="E65" s="43"/>
      <c r="F65" s="42"/>
      <c r="K65" s="12"/>
    </row>
    <row r="66" spans="2:11" x14ac:dyDescent="0.2">
      <c r="B66" s="32" t="s">
        <v>36</v>
      </c>
      <c r="C66" s="54" t="s">
        <v>105</v>
      </c>
      <c r="D66" s="54"/>
      <c r="E66" s="54"/>
      <c r="F66" s="42"/>
      <c r="K66" s="12"/>
    </row>
    <row r="67" spans="2:11" x14ac:dyDescent="0.2">
      <c r="B67" s="32" t="s">
        <v>37</v>
      </c>
      <c r="C67" s="54" t="s">
        <v>106</v>
      </c>
      <c r="D67" s="54"/>
      <c r="E67" s="54"/>
      <c r="F67" s="54"/>
      <c r="G67" s="54"/>
      <c r="I67" s="54"/>
      <c r="K67" s="12"/>
    </row>
    <row r="68" spans="2:11" x14ac:dyDescent="0.2">
      <c r="B68" s="32" t="s">
        <v>38</v>
      </c>
      <c r="C68" s="50" t="s">
        <v>107</v>
      </c>
      <c r="D68" s="50"/>
      <c r="E68" s="50"/>
      <c r="F68" s="50"/>
      <c r="H68" s="54"/>
      <c r="K68" s="12"/>
    </row>
    <row r="69" spans="2:11" ht="13.75" customHeight="1" x14ac:dyDescent="0.2">
      <c r="B69" s="28"/>
      <c r="K69" s="12"/>
    </row>
    <row r="70" spans="2:11" ht="17" thickBot="1" x14ac:dyDescent="0.25">
      <c r="B70" s="86" t="str">
        <f>"Carteira" &amp; " "&amp; VLOOKUP(C15,'Base Nova'!$A$2:$B$3040,2,FALSE)  &amp; " | Performance"</f>
        <v>Carteira cliente | Performance</v>
      </c>
      <c r="C70" s="86"/>
      <c r="D70" s="86"/>
      <c r="E70" s="86"/>
      <c r="K70" s="12"/>
    </row>
    <row r="71" spans="2:11" ht="16" thickTop="1" x14ac:dyDescent="0.2">
      <c r="B71" s="15" t="s">
        <v>32</v>
      </c>
      <c r="C71" s="16" t="s">
        <v>33</v>
      </c>
      <c r="D71" s="17" t="str">
        <f>+"Benchmark:" &amp; " " &amp; D26</f>
        <v>Benchmark: IPCA + 5%</v>
      </c>
      <c r="E71" s="16" t="s">
        <v>43</v>
      </c>
      <c r="K71" s="12"/>
    </row>
    <row r="72" spans="2:11" x14ac:dyDescent="0.2">
      <c r="B72" s="18" t="str">
        <f>$C$3 &amp;":"</f>
        <v>Março:</v>
      </c>
      <c r="C72" s="36" t="s">
        <v>108</v>
      </c>
      <c r="D72" s="36" t="s">
        <v>61</v>
      </c>
      <c r="E72" s="61" t="str">
        <f>IF(OR($D$26="IPCA + 5%",$D$26="IPCA + 6%",$D$26="IPCA + 3%", $D$26="IPCA + 7%", $D$26="12% a.a."),TEXT((C72-D72)*100, "0,00 p.p."),IF(OR($D$26="CDI",$D$26="5% a.a.", $D$26="IBOVESPA", $D$26="7% a.a."),IF(C72&lt;0,"-",TEXT((C72/D72), "0,00%")),0))</f>
        <v>0,15 p.p.</v>
      </c>
      <c r="F72" s="19"/>
      <c r="G72" s="51"/>
      <c r="K72" s="12"/>
    </row>
    <row r="73" spans="2:11" x14ac:dyDescent="0.2">
      <c r="B73" s="18" t="s">
        <v>34</v>
      </c>
      <c r="C73" s="36" t="s">
        <v>109</v>
      </c>
      <c r="D73" s="36" t="s">
        <v>62</v>
      </c>
      <c r="E73" s="61" t="str">
        <f>IF(OR($D$26="IPCA + 5%",$D$26="IPCA + 6%",$D$26="IPCA + 3%", $D$26="IPCA + 7%", $D$26="12% a.a."),TEXT((C73-D73)*100, "0,00 p.p."),IF(OR($D$26="CDI",$D$26="5% a.a.", $D$26="IBOVESPA", $D$26="7% a.a."),IF(C73&lt;0,"-",TEXT((C73/D73), "0,00%")),0))</f>
        <v>-0,93 p.p.</v>
      </c>
      <c r="F73" s="19"/>
      <c r="G73" s="51"/>
      <c r="K73" s="12"/>
    </row>
    <row r="74" spans="2:11" x14ac:dyDescent="0.2">
      <c r="B74" s="13"/>
      <c r="C74" s="73"/>
      <c r="D74" s="21"/>
      <c r="E74" s="22"/>
      <c r="K74" s="12"/>
    </row>
    <row r="75" spans="2:11" x14ac:dyDescent="0.2">
      <c r="B75" s="32" t="s">
        <v>35</v>
      </c>
      <c r="C75" s="57">
        <v>35866.44</v>
      </c>
      <c r="D75" s="24"/>
      <c r="E75" s="24"/>
      <c r="K75" s="12"/>
    </row>
    <row r="76" spans="2:11" x14ac:dyDescent="0.2">
      <c r="B76" s="32" t="s">
        <v>36</v>
      </c>
      <c r="C76" s="55" t="s">
        <v>110</v>
      </c>
      <c r="D76" s="13"/>
      <c r="E76" s="13"/>
      <c r="K76" s="12"/>
    </row>
    <row r="77" spans="2:11" x14ac:dyDescent="0.2">
      <c r="B77" s="32" t="s">
        <v>37</v>
      </c>
      <c r="C77" s="55" t="s">
        <v>111</v>
      </c>
      <c r="D77" s="13"/>
      <c r="E77" s="13"/>
      <c r="K77" s="12"/>
    </row>
    <row r="78" spans="2:11" x14ac:dyDescent="0.2">
      <c r="B78" s="32" t="s">
        <v>38</v>
      </c>
      <c r="C78" s="64" t="s">
        <v>112</v>
      </c>
      <c r="D78" s="13"/>
      <c r="E78" s="13"/>
      <c r="F78" s="50"/>
      <c r="K78" s="12"/>
    </row>
    <row r="79" spans="2:11" x14ac:dyDescent="0.2">
      <c r="B79" s="38"/>
      <c r="C79" s="38"/>
      <c r="D79" s="38"/>
      <c r="E79" s="38"/>
    </row>
    <row r="80" spans="2:11" ht="17" thickBot="1" x14ac:dyDescent="0.25">
      <c r="B80" s="86" t="str">
        <f>"Carteira" &amp; " "&amp; VLOOKUP(C16,'Base Nova'!$A$2:$B$3040,2,FALSE)  &amp; " | Performance"</f>
        <v>Carteira 2 | Performance</v>
      </c>
      <c r="C80" s="86"/>
      <c r="D80" s="86"/>
      <c r="E80" s="86"/>
    </row>
    <row r="81" spans="2:8" ht="16" thickTop="1" x14ac:dyDescent="0.2">
      <c r="B81" s="15" t="s">
        <v>32</v>
      </c>
      <c r="C81" s="16" t="s">
        <v>33</v>
      </c>
      <c r="D81" s="17" t="str">
        <f>+"Benchmark:" &amp; " " &amp; D27</f>
        <v>Benchmark: 0</v>
      </c>
      <c r="E81" s="16" t="s">
        <v>43</v>
      </c>
    </row>
    <row r="82" spans="2:8" x14ac:dyDescent="0.2">
      <c r="B82" s="18" t="str">
        <f>$C$3 &amp;":"</f>
        <v>Março:</v>
      </c>
      <c r="C82" s="36">
        <v>0</v>
      </c>
      <c r="D82" s="36" t="s">
        <v>63</v>
      </c>
      <c r="E82" s="61">
        <f>IF(OR($D$27="IPCA + 5%",$D$27="IPCA + 6%",$D$27="IPCA + 3%", $D$27="IPCA + 7%", $D$27="12% a.a."),TEXT((C82-D82)*100, "0,00 p.p."),IF(OR($D$27="CDI",$D$27="5% a.a.", $D$27="IBOVESPA", $D$27="7% a.a."),IF(C82&lt;0,"-",TEXT((C82/D82), "0,00%")),0))</f>
        <v>0</v>
      </c>
      <c r="H82" s="51"/>
    </row>
    <row r="83" spans="2:8" ht="16" thickBot="1" x14ac:dyDescent="0.25">
      <c r="B83" s="18" t="s">
        <v>34</v>
      </c>
      <c r="C83" s="36">
        <v>0</v>
      </c>
      <c r="D83" s="41" t="s">
        <v>63</v>
      </c>
      <c r="E83" s="61">
        <f>IF(OR($D$27="IPCA + 5%",$D$27="IPCA + 6%",$D$27="IPCA + 3%", $D$27="IPCA + 7%", $D$27="12% a.a."),TEXT((C83-D83)*100, "0,00 p.p."),IF(OR($D$27="CDI",$D$27="5% a.a.", $D$27="IBOVESPA", $D$27="7% a.a."),IF(C83&lt;0,"-",TEXT((C83/D83), "0,00%")),0))</f>
        <v>0</v>
      </c>
      <c r="H83" s="51"/>
    </row>
    <row r="84" spans="2:8" x14ac:dyDescent="0.2">
      <c r="B84" s="13"/>
      <c r="C84" s="13"/>
      <c r="D84" s="21"/>
      <c r="E84" s="22"/>
    </row>
    <row r="85" spans="2:8" x14ac:dyDescent="0.2">
      <c r="B85" s="32" t="s">
        <v>35</v>
      </c>
      <c r="C85" s="57"/>
      <c r="D85" s="24"/>
      <c r="E85" s="24"/>
    </row>
    <row r="86" spans="2:8" x14ac:dyDescent="0.2">
      <c r="B86" s="32" t="s">
        <v>36</v>
      </c>
      <c r="C86" s="55" t="s">
        <v>64</v>
      </c>
      <c r="D86" s="13"/>
      <c r="E86" s="13"/>
    </row>
    <row r="87" spans="2:8" x14ac:dyDescent="0.2">
      <c r="B87" s="32" t="s">
        <v>37</v>
      </c>
      <c r="C87" s="55" t="s">
        <v>64</v>
      </c>
      <c r="D87" s="13"/>
      <c r="E87" s="13"/>
    </row>
    <row r="88" spans="2:8" x14ac:dyDescent="0.2">
      <c r="B88" s="32" t="s">
        <v>38</v>
      </c>
      <c r="C88" s="55" t="s">
        <v>64</v>
      </c>
      <c r="D88" s="13"/>
      <c r="E88" s="13"/>
    </row>
    <row r="89" spans="2:8" x14ac:dyDescent="0.2">
      <c r="B89" s="38"/>
      <c r="C89" s="38"/>
      <c r="D89" s="38"/>
      <c r="E89" s="38"/>
    </row>
    <row r="90" spans="2:8" ht="17" thickBot="1" x14ac:dyDescent="0.25">
      <c r="B90" s="86" t="str">
        <f>"Carteira" &amp; " "&amp; VLOOKUP(C17,'Base Nova'!$A$2:$B$3040,2,FALSE)  &amp; " | Performance"</f>
        <v>Carteira Moderada | Performance</v>
      </c>
      <c r="C90" s="86"/>
      <c r="D90" s="86"/>
      <c r="E90" s="86"/>
    </row>
    <row r="91" spans="2:8" ht="16" thickTop="1" x14ac:dyDescent="0.2">
      <c r="B91" s="15" t="s">
        <v>32</v>
      </c>
      <c r="C91" s="16" t="s">
        <v>33</v>
      </c>
      <c r="D91" s="17" t="str">
        <f>+"Benchmark:" &amp; " " &amp; D28</f>
        <v>Benchmark: IPCA + 5%</v>
      </c>
      <c r="E91" s="16" t="s">
        <v>43</v>
      </c>
    </row>
    <row r="92" spans="2:8" ht="16" thickBot="1" x14ac:dyDescent="0.25">
      <c r="B92" s="18" t="str">
        <f>$C$3 &amp;":"</f>
        <v>Março:</v>
      </c>
      <c r="C92" s="36" t="s">
        <v>65</v>
      </c>
      <c r="D92" s="41" t="s">
        <v>67</v>
      </c>
      <c r="E92" s="61" t="str">
        <f>IF(OR($D$28="IPCA + 5%",$D$28="IPCA + 6%",$D$28="IPCA + 3%", $D$28="IPCA + 7%", $D$28="12% a.a."),TEXT((C92-D92)*100, "0,00 p.p."),IF(OR($D$28="CDI",$D$28="5% a.a.", $D$28="IBOVESPA", $D$28="7% a.a."),IF(C92&lt;0,"-",TEXT((C92/D92), "0,00%")),0))</f>
        <v>-8,34 p.p.</v>
      </c>
    </row>
    <row r="93" spans="2:8" ht="16" thickBot="1" x14ac:dyDescent="0.25">
      <c r="B93" s="18" t="s">
        <v>34</v>
      </c>
      <c r="C93" s="36" t="s">
        <v>66</v>
      </c>
      <c r="D93" s="41" t="s">
        <v>68</v>
      </c>
      <c r="E93" s="61" t="str">
        <f>IF(OR($D$28="IPCA + 5%",$D$28="IPCA + 6%",$D$28="IPCA + 3%", $D$28="IPCA + 7%", $D$28="12% a.a."),TEXT((C93-D93)*100, "0,00 p.p."),IF(OR($D$28="CDI",$D$28="5% a.a.", $D$28="IBOVESPA", $D$28="7% a.a."),IF(C93&lt;0,"-",TEXT((C93/D93), "0,00%")),0))</f>
        <v>-7,49 p.p.</v>
      </c>
    </row>
    <row r="94" spans="2:8" x14ac:dyDescent="0.2">
      <c r="B94" s="13"/>
      <c r="C94" s="13"/>
      <c r="D94" s="21"/>
      <c r="E94" s="22"/>
    </row>
    <row r="95" spans="2:8" x14ac:dyDescent="0.2">
      <c r="B95" s="32" t="s">
        <v>35</v>
      </c>
      <c r="C95" s="57">
        <v>-40465.9</v>
      </c>
      <c r="D95" s="24"/>
      <c r="E95" s="24"/>
    </row>
    <row r="96" spans="2:8" x14ac:dyDescent="0.2">
      <c r="B96" s="32" t="s">
        <v>36</v>
      </c>
      <c r="C96" s="55" t="s">
        <v>69</v>
      </c>
      <c r="D96" s="13"/>
      <c r="E96" s="13"/>
    </row>
    <row r="97" spans="2:5" x14ac:dyDescent="0.2">
      <c r="B97" s="32" t="s">
        <v>37</v>
      </c>
      <c r="C97" s="55" t="s">
        <v>70</v>
      </c>
      <c r="D97" s="13"/>
      <c r="E97" s="13"/>
    </row>
    <row r="98" spans="2:5" x14ac:dyDescent="0.2">
      <c r="B98" s="32" t="s">
        <v>38</v>
      </c>
      <c r="C98" s="55" t="s">
        <v>89</v>
      </c>
      <c r="D98" s="13"/>
      <c r="E98" s="13"/>
    </row>
    <row r="99" spans="2:5" x14ac:dyDescent="0.2">
      <c r="B99" s="38"/>
      <c r="C99" s="38"/>
      <c r="D99" s="38"/>
      <c r="E99" s="38"/>
    </row>
    <row r="100" spans="2:5" ht="17" thickBot="1" x14ac:dyDescent="0.25">
      <c r="B100" s="86" t="str">
        <f>"Carteira" &amp; " "&amp; VLOOKUP(C18,'Base Nova'!$A$2:$B$3040,2,FALSE)  &amp; " | Performance"</f>
        <v>Carteira Offshore | Performance</v>
      </c>
      <c r="C100" s="86"/>
      <c r="D100" s="86"/>
      <c r="E100" s="86"/>
    </row>
    <row r="101" spans="2:5" ht="16" thickTop="1" x14ac:dyDescent="0.2">
      <c r="B101" s="15" t="s">
        <v>32</v>
      </c>
      <c r="C101" s="16" t="s">
        <v>33</v>
      </c>
      <c r="D101" s="17" t="str">
        <f>+"Benchmark:" &amp; " " &amp; D29</f>
        <v>Benchmark: 5% a.a.</v>
      </c>
      <c r="E101" s="16" t="s">
        <v>43</v>
      </c>
    </row>
    <row r="102" spans="2:5" x14ac:dyDescent="0.2">
      <c r="B102" s="18" t="str">
        <f>$C$3 &amp;":"</f>
        <v>Março:</v>
      </c>
      <c r="C102" s="36" t="s">
        <v>71</v>
      </c>
      <c r="D102" s="36" t="s">
        <v>61</v>
      </c>
      <c r="E102" s="61" t="str">
        <f>IF(OR($D$29="IPCA + 5%",$D$29="IPCA + 6%",$D$29="IPCA + 3%", $D$29="IPCA + 7%", $D$29="12% a.a."),TEXT((C102-D102)*100, "0,00 p.p."),IF(OR($D$29="CDI",$D$29="5% a.a.", $D$29="IBOVESPA", $D$29="7% a.a."),IF(C102&lt;0,"-",TEXT((C102/D102), "0,00%")),0))</f>
        <v>71,74%</v>
      </c>
    </row>
    <row r="103" spans="2:5" ht="16" thickBot="1" x14ac:dyDescent="0.25">
      <c r="B103" s="18" t="s">
        <v>34</v>
      </c>
      <c r="C103" s="36" t="s">
        <v>72</v>
      </c>
      <c r="D103" s="41" t="s">
        <v>62</v>
      </c>
      <c r="E103" s="61" t="str">
        <f>IF(OR($D$29="IPCA + 5%",$D$29="IPCA + 6%",$D$29="IPCA + 3%", $D$29="IPCA + 7%", $D$29="12% a.a."),TEXT((C103-D103)*100, "0,00 p.p."),IF(OR($D$29="CDI",$D$29="5% a.a.", $D$29="IBOVESPA", $D$29="7% a.a."),IF(C103&lt;0,"-",TEXT((C103/D103), "0,00%")),0))</f>
        <v>57,10%</v>
      </c>
    </row>
    <row r="104" spans="2:5" x14ac:dyDescent="0.2">
      <c r="B104" s="13"/>
      <c r="C104" s="13"/>
      <c r="D104" s="21"/>
      <c r="E104" s="22"/>
    </row>
    <row r="105" spans="2:5" x14ac:dyDescent="0.2">
      <c r="B105" s="32" t="s">
        <v>35</v>
      </c>
      <c r="C105" s="57">
        <v>12976.43</v>
      </c>
      <c r="D105" s="24"/>
      <c r="E105" s="24"/>
    </row>
    <row r="106" spans="2:5" x14ac:dyDescent="0.2">
      <c r="B106" s="32" t="s">
        <v>36</v>
      </c>
      <c r="C106" s="55" t="s">
        <v>73</v>
      </c>
      <c r="D106" s="13"/>
      <c r="E106" s="13"/>
    </row>
    <row r="107" spans="2:5" x14ac:dyDescent="0.2">
      <c r="B107" s="32" t="s">
        <v>37</v>
      </c>
      <c r="C107" s="55" t="s">
        <v>74</v>
      </c>
      <c r="D107" s="13"/>
      <c r="E107" s="13"/>
    </row>
    <row r="108" spans="2:5" x14ac:dyDescent="0.2">
      <c r="B108" s="32" t="s">
        <v>38</v>
      </c>
      <c r="C108" s="55" t="s">
        <v>90</v>
      </c>
      <c r="D108" s="13"/>
      <c r="E108" s="13"/>
    </row>
    <row r="110" spans="2:5" ht="17" thickBot="1" x14ac:dyDescent="0.25">
      <c r="B110" s="86" t="str">
        <f>"Carteira" &amp; " "&amp; VLOOKUP(C19,'Base Nova'!$A$2:$B$3040,2,FALSE)  &amp; " | Performance"</f>
        <v>Carteira 2 | Performance</v>
      </c>
      <c r="C110" s="86"/>
      <c r="D110" s="86"/>
      <c r="E110" s="86"/>
    </row>
    <row r="111" spans="2:5" ht="16" thickTop="1" x14ac:dyDescent="0.2">
      <c r="B111" s="15" t="s">
        <v>32</v>
      </c>
      <c r="C111" s="16" t="s">
        <v>33</v>
      </c>
      <c r="D111" s="17" t="str">
        <f>+"Benchmark:" &amp; " " &amp; D34</f>
        <v>Benchmark: 0</v>
      </c>
      <c r="E111" s="16" t="s">
        <v>43</v>
      </c>
    </row>
    <row r="112" spans="2:5" x14ac:dyDescent="0.2">
      <c r="B112" s="18" t="str">
        <f>$C$3 &amp;":"</f>
        <v>Março:</v>
      </c>
      <c r="C112" s="36" t="s">
        <v>75</v>
      </c>
      <c r="D112" s="36" t="s">
        <v>61</v>
      </c>
      <c r="E112" s="61">
        <f>IF(OR($D$34="IPCA + 5%",$D$34="IPCA + 6%",$D$34="IPCA + 3%", $D$34="IPCA + 7%", $D$34="12% a.a."),TEXT((C112-D112)*100, "0,00 p.p."),IF(OR($D$34="CDI",$D$34="5% a.a.", $D$34="IBOVESPA", $D$34="7% a.a."),IF(C112&lt;0,"-",TEXT((C112/D112), "0,00%")),0))</f>
        <v>0</v>
      </c>
    </row>
    <row r="113" spans="2:5" x14ac:dyDescent="0.2">
      <c r="B113" s="18" t="s">
        <v>34</v>
      </c>
      <c r="C113" s="36" t="s">
        <v>56</v>
      </c>
      <c r="D113" s="36" t="s">
        <v>62</v>
      </c>
      <c r="E113" s="61">
        <f>IF(OR($D$34="IPCA + 5%",$D$34="IPCA + 6%",$D$34="IPCA + 3%", $D$34="IPCA + 7%", $D$34="12% a.a."),TEXT((C113-D113)*100, "0,00 p.p."),IF(OR($D$34="CDI",$D$34="5% a.a.", $D$34="IBOVESPA", $D$34="7% a.a."),IF(C113&lt;0,"-",TEXT((C113/D113), "0,00%")),0))</f>
        <v>0</v>
      </c>
    </row>
    <row r="114" spans="2:5" x14ac:dyDescent="0.2">
      <c r="B114" s="13"/>
      <c r="C114" s="13"/>
      <c r="D114" s="21"/>
      <c r="E114" s="22"/>
    </row>
    <row r="115" spans="2:5" x14ac:dyDescent="0.2">
      <c r="B115" s="32" t="s">
        <v>35</v>
      </c>
      <c r="C115" s="57">
        <v>11505.81</v>
      </c>
      <c r="D115" s="24"/>
      <c r="E115" s="24"/>
    </row>
    <row r="116" spans="2:5" x14ac:dyDescent="0.2">
      <c r="B116" s="32" t="s">
        <v>36</v>
      </c>
      <c r="C116" s="55" t="s">
        <v>76</v>
      </c>
      <c r="D116" s="13"/>
      <c r="E116" s="13"/>
    </row>
    <row r="117" spans="2:5" x14ac:dyDescent="0.2">
      <c r="B117" s="32" t="s">
        <v>37</v>
      </c>
      <c r="C117" s="55" t="s">
        <v>77</v>
      </c>
      <c r="D117" s="13"/>
      <c r="E117" s="13"/>
    </row>
    <row r="118" spans="2:5" x14ac:dyDescent="0.2">
      <c r="B118" s="32" t="s">
        <v>38</v>
      </c>
      <c r="C118" s="55" t="s">
        <v>91</v>
      </c>
      <c r="D118" s="13"/>
      <c r="E118" s="13"/>
    </row>
    <row r="119" spans="2:5" x14ac:dyDescent="0.2">
      <c r="B119" s="32"/>
      <c r="C119" s="27"/>
      <c r="D119" s="13"/>
      <c r="E119" s="13"/>
    </row>
    <row r="120" spans="2:5" ht="17" thickBot="1" x14ac:dyDescent="0.25">
      <c r="B120" s="86" t="str">
        <f>"Carteira" &amp; " "&amp; VLOOKUP(C20,'Base Nova'!$A$2:$B$3040,2,FALSE)  &amp; " | Performance"</f>
        <v>Carteira Moderada | Performance</v>
      </c>
      <c r="C120" s="86"/>
      <c r="D120" s="86"/>
      <c r="E120" s="86"/>
    </row>
    <row r="121" spans="2:5" ht="16" thickTop="1" x14ac:dyDescent="0.2">
      <c r="B121" s="15" t="s">
        <v>32</v>
      </c>
      <c r="C121" s="16" t="s">
        <v>33</v>
      </c>
      <c r="D121" s="17" t="str">
        <f>+"Benchmark:" &amp; " " &amp; D44</f>
        <v xml:space="preserve">Benchmark: </v>
      </c>
      <c r="E121" s="16" t="s">
        <v>43</v>
      </c>
    </row>
    <row r="122" spans="2:5" x14ac:dyDescent="0.2">
      <c r="B122" s="18" t="str">
        <f>$C$3 &amp;":"</f>
        <v>Março:</v>
      </c>
      <c r="C122" s="36" t="s">
        <v>78</v>
      </c>
      <c r="D122" s="36" t="s">
        <v>51</v>
      </c>
      <c r="E122" s="61">
        <f>IF(OR($D$34="IPCA + 5%",$D$34="IPCA + 6%",$D$34="IPCA + 3%", $D$34="IPCA + 7%", $D$34="12% a.a."),TEXT((C122-D122)*100, "0,00 p.p."),IF(OR($D$34="CDI",$D$34="5% a.a.", $D$34="IBOVESPA", $D$34="7% a.a."),IF(C122&lt;0,"-",TEXT((C122/D122), "0,00%")),0))</f>
        <v>0</v>
      </c>
    </row>
    <row r="123" spans="2:5" x14ac:dyDescent="0.2">
      <c r="B123" s="18" t="s">
        <v>34</v>
      </c>
      <c r="C123" s="36" t="s">
        <v>78</v>
      </c>
      <c r="D123" s="36" t="s">
        <v>52</v>
      </c>
      <c r="E123" s="61">
        <f>IF(OR($D$34="IPCA + 5%",$D$34="IPCA + 6%",$D$34="IPCA + 3%", $D$34="IPCA + 7%", $D$34="12% a.a."),TEXT((C123-D123)*100, "0,00 p.p."),IF(OR($D$34="CDI",$D$34="5% a.a.", $D$34="IBOVESPA", $D$34="7% a.a."),IF(C123&lt;0,"-",TEXT((C123/D123), "0,00%")),0))</f>
        <v>0</v>
      </c>
    </row>
    <row r="124" spans="2:5" x14ac:dyDescent="0.2">
      <c r="B124" s="13"/>
      <c r="C124" s="73"/>
      <c r="D124" s="21"/>
      <c r="E124" s="22"/>
    </row>
    <row r="125" spans="2:5" x14ac:dyDescent="0.2">
      <c r="B125" s="32" t="s">
        <v>35</v>
      </c>
      <c r="C125" s="57">
        <v>-3082.91</v>
      </c>
      <c r="D125" s="24"/>
      <c r="E125" s="24"/>
    </row>
    <row r="126" spans="2:5" x14ac:dyDescent="0.2">
      <c r="B126" s="32" t="s">
        <v>36</v>
      </c>
      <c r="C126" s="22" t="s">
        <v>79</v>
      </c>
      <c r="D126" s="13"/>
      <c r="E126" s="13"/>
    </row>
    <row r="127" spans="2:5" x14ac:dyDescent="0.2">
      <c r="B127" s="32" t="s">
        <v>37</v>
      </c>
      <c r="C127" s="22" t="s">
        <v>80</v>
      </c>
      <c r="D127" s="13"/>
      <c r="E127" s="13"/>
    </row>
    <row r="128" spans="2:5" x14ac:dyDescent="0.2">
      <c r="B128" s="32" t="s">
        <v>38</v>
      </c>
      <c r="C128" s="22" t="s">
        <v>92</v>
      </c>
      <c r="D128" s="13"/>
      <c r="E128" s="13"/>
    </row>
    <row r="129" spans="2:5" x14ac:dyDescent="0.2">
      <c r="B129" s="32"/>
      <c r="C129" s="27"/>
      <c r="D129" s="13"/>
      <c r="E129" s="13"/>
    </row>
    <row r="130" spans="2:5" ht="17" thickBot="1" x14ac:dyDescent="0.25">
      <c r="B130" s="86" t="str">
        <f>"Carteira" &amp; " "&amp; VLOOKUP(C21,'Base Nova'!$A$2:$B$3040,2,FALSE)  &amp; " | Performance"</f>
        <v>Carteira 2 | Performance</v>
      </c>
      <c r="C130" s="86"/>
      <c r="D130" s="86"/>
      <c r="E130" s="86"/>
    </row>
    <row r="131" spans="2:5" ht="16" thickTop="1" x14ac:dyDescent="0.2">
      <c r="B131" s="15" t="s">
        <v>32</v>
      </c>
      <c r="C131" s="16" t="s">
        <v>33</v>
      </c>
      <c r="D131" s="17" t="str">
        <f>+"Benchmark:" &amp; " " &amp; D54</f>
        <v xml:space="preserve">Benchmark: </v>
      </c>
      <c r="E131" s="16" t="s">
        <v>43</v>
      </c>
    </row>
    <row r="132" spans="2:5" x14ac:dyDescent="0.2">
      <c r="B132" s="18" t="str">
        <f>$C$3 &amp;":"</f>
        <v>Março:</v>
      </c>
      <c r="C132" s="36" t="s">
        <v>81</v>
      </c>
      <c r="D132" s="36" t="s">
        <v>51</v>
      </c>
      <c r="E132" s="61">
        <f>IF(OR($D$34="IPCA + 5%",$D$34="IPCA + 6%",$D$34="IPCA + 3%", $D$34="IPCA + 7%", $D$34="12% a.a."),TEXT((C132-D132)*100, "0,00 p.p."),IF(OR($D$34="CDI",$D$34="5% a.a.", $D$34="IBOVESPA", $D$34="7% a.a."),IF(C132&lt;0,"-",TEXT((C132/D132), "0,00%")),0))</f>
        <v>0</v>
      </c>
    </row>
    <row r="133" spans="2:5" x14ac:dyDescent="0.2">
      <c r="B133" s="18" t="s">
        <v>34</v>
      </c>
      <c r="C133" s="36" t="s">
        <v>82</v>
      </c>
      <c r="D133" s="36" t="s">
        <v>52</v>
      </c>
      <c r="E133" s="61">
        <f>IF(OR($D$34="IPCA + 5%",$D$34="IPCA + 6%",$D$34="IPCA + 3%", $D$34="IPCA + 7%", $D$34="12% a.a."),TEXT((C133-D133)*100, "0,00 p.p."),IF(OR($D$34="CDI",$D$34="5% a.a.", $D$34="IBOVESPA", $D$34="7% a.a."),IF(C133&lt;0,"-",TEXT((C133/D133), "0,00%")),0))</f>
        <v>0</v>
      </c>
    </row>
    <row r="134" spans="2:5" x14ac:dyDescent="0.2">
      <c r="B134" s="13"/>
      <c r="C134" s="13"/>
      <c r="D134" s="21"/>
      <c r="E134" s="22"/>
    </row>
    <row r="135" spans="2:5" x14ac:dyDescent="0.2">
      <c r="B135" s="32" t="s">
        <v>35</v>
      </c>
      <c r="C135" s="57">
        <v>10988.55</v>
      </c>
      <c r="D135" s="24"/>
      <c r="E135" s="24"/>
    </row>
    <row r="136" spans="2:5" x14ac:dyDescent="0.2">
      <c r="B136" s="32" t="s">
        <v>36</v>
      </c>
      <c r="C136" s="22" t="s">
        <v>83</v>
      </c>
      <c r="D136" s="13"/>
      <c r="E136" s="13"/>
    </row>
    <row r="137" spans="2:5" x14ac:dyDescent="0.2">
      <c r="B137" s="32" t="s">
        <v>37</v>
      </c>
      <c r="C137" s="22" t="s">
        <v>80</v>
      </c>
      <c r="D137" s="13"/>
      <c r="E137" s="13"/>
    </row>
    <row r="138" spans="2:5" x14ac:dyDescent="0.2">
      <c r="B138" s="32" t="s">
        <v>38</v>
      </c>
      <c r="C138" s="22" t="s">
        <v>92</v>
      </c>
      <c r="D138" s="13"/>
      <c r="E138" s="13"/>
    </row>
    <row r="139" spans="2:5" x14ac:dyDescent="0.2">
      <c r="B139" s="32"/>
      <c r="C139" s="27"/>
      <c r="D139" s="13"/>
      <c r="E139" s="13"/>
    </row>
    <row r="140" spans="2:5" ht="17" thickBot="1" x14ac:dyDescent="0.25">
      <c r="B140" s="86" t="str">
        <f>"Carteira" &amp; " "&amp; VLOOKUP(C22,'Base Nova'!$A$2:$B$3040,2,FALSE)  &amp; " | Performance"</f>
        <v>Carteira Offshore | Performance</v>
      </c>
      <c r="C140" s="86"/>
      <c r="D140" s="86"/>
      <c r="E140" s="86"/>
    </row>
    <row r="141" spans="2:5" ht="16" thickTop="1" x14ac:dyDescent="0.2">
      <c r="B141" s="15" t="s">
        <v>32</v>
      </c>
      <c r="C141" s="16" t="s">
        <v>33</v>
      </c>
      <c r="D141" s="17" t="str">
        <f>+"Benchmark:" &amp; " " &amp; D64</f>
        <v xml:space="preserve">Benchmark: </v>
      </c>
      <c r="E141" s="16" t="s">
        <v>43</v>
      </c>
    </row>
    <row r="142" spans="2:5" x14ac:dyDescent="0.2">
      <c r="B142" s="18" t="str">
        <f>$C$3 &amp;":"</f>
        <v>Março:</v>
      </c>
      <c r="C142" s="36" t="s">
        <v>84</v>
      </c>
      <c r="D142" s="36" t="s">
        <v>51</v>
      </c>
      <c r="E142" s="61">
        <f>IF(OR($D$34="IPCA + 5%",$D$34="IPCA + 6%",$D$34="IPCA + 3%", $D$34="IPCA + 7%", $D$34="12% a.a."),TEXT((C142-D142)*100, "0,00 p.p."),IF(OR($D$34="CDI",$D$34="5% a.a.", $D$34="IBOVESPA", $D$34="7% a.a."),IF(C142&lt;0,"-",TEXT((C142/D142), "0,00%")),0))</f>
        <v>0</v>
      </c>
    </row>
    <row r="143" spans="2:5" x14ac:dyDescent="0.2">
      <c r="B143" s="18" t="s">
        <v>34</v>
      </c>
      <c r="C143" s="36" t="s">
        <v>84</v>
      </c>
      <c r="D143" s="36" t="s">
        <v>52</v>
      </c>
      <c r="E143" s="61">
        <f>IF(OR($D$34="IPCA + 5%",$D$34="IPCA + 6%",$D$34="IPCA + 3%", $D$34="IPCA + 7%", $D$34="12% a.a."),TEXT((C143-D143)*100, "0,00 p.p."),IF(OR($D$34="CDI",$D$34="5% a.a.", $D$34="IBOVESPA", $D$34="7% a.a."),IF(C143&lt;0,"-",TEXT((C143/D143), "0,00%")),0))</f>
        <v>0</v>
      </c>
    </row>
    <row r="144" spans="2:5" x14ac:dyDescent="0.2">
      <c r="B144" s="13"/>
      <c r="C144" s="13"/>
      <c r="D144" s="21"/>
      <c r="E144" s="22"/>
    </row>
    <row r="145" spans="2:5" x14ac:dyDescent="0.2">
      <c r="B145" s="32" t="s">
        <v>35</v>
      </c>
      <c r="C145" s="57">
        <v>-1161.94</v>
      </c>
      <c r="D145" s="24"/>
      <c r="E145" s="24"/>
    </row>
    <row r="146" spans="2:5" x14ac:dyDescent="0.2">
      <c r="B146" s="32" t="s">
        <v>36</v>
      </c>
      <c r="C146" s="22" t="s">
        <v>85</v>
      </c>
      <c r="D146" s="13"/>
      <c r="E146" s="13"/>
    </row>
    <row r="147" spans="2:5" x14ac:dyDescent="0.2">
      <c r="B147" s="32" t="s">
        <v>37</v>
      </c>
      <c r="C147" s="22" t="s">
        <v>86</v>
      </c>
      <c r="D147" s="13"/>
      <c r="E147" s="13"/>
    </row>
    <row r="148" spans="2:5" x14ac:dyDescent="0.2">
      <c r="B148" s="32" t="s">
        <v>38</v>
      </c>
      <c r="C148" s="22" t="s">
        <v>93</v>
      </c>
      <c r="D148" s="13"/>
      <c r="E148" s="13"/>
    </row>
    <row r="149" spans="2:5" x14ac:dyDescent="0.2">
      <c r="B149" s="32"/>
      <c r="C149" s="27"/>
      <c r="D149" s="13"/>
      <c r="E149" s="13"/>
    </row>
    <row r="150" spans="2:5" ht="17" thickBot="1" x14ac:dyDescent="0.25">
      <c r="B150" s="86" t="str">
        <f>"Carteira" &amp; " "&amp; VLOOKUP(C23,'Base Nova'!$A$2:$B$3040,2,FALSE)  &amp; " | Performance"</f>
        <v>Carteira 2 | Performance</v>
      </c>
      <c r="C150" s="86"/>
      <c r="D150" s="86"/>
      <c r="E150" s="86"/>
    </row>
    <row r="151" spans="2:5" ht="16" thickTop="1" x14ac:dyDescent="0.2">
      <c r="B151" s="15" t="s">
        <v>32</v>
      </c>
      <c r="C151" s="16" t="s">
        <v>33</v>
      </c>
      <c r="D151" s="17" t="str">
        <f>+"Benchmark:" &amp; " " &amp; D74</f>
        <v xml:space="preserve">Benchmark: </v>
      </c>
      <c r="E151" s="16" t="s">
        <v>43</v>
      </c>
    </row>
    <row r="152" spans="2:5" x14ac:dyDescent="0.2">
      <c r="B152" s="18" t="str">
        <f>$C$3 &amp;":"</f>
        <v>Março:</v>
      </c>
      <c r="C152" s="36" t="s">
        <v>45</v>
      </c>
      <c r="D152" s="36" t="s">
        <v>61</v>
      </c>
      <c r="E152" s="61">
        <f>IF(OR($D$34="IPCA + 5%",$D$34="IPCA + 6%",$D$34="IPCA + 3%", $D$34="IPCA + 7%", $D$34="12% a.a."),TEXT((C152-D152)*100, "0,00 p.p."),IF(OR($D$34="CDI",$D$34="5% a.a.", $D$34="IBOVESPA", $D$34="7% a.a."),IF(C152&lt;0,"-",TEXT((C152/D152), "0,00%")),0))</f>
        <v>0</v>
      </c>
    </row>
    <row r="153" spans="2:5" x14ac:dyDescent="0.2">
      <c r="B153" s="18" t="s">
        <v>34</v>
      </c>
      <c r="C153" s="36" t="s">
        <v>87</v>
      </c>
      <c r="D153" s="36" t="s">
        <v>62</v>
      </c>
      <c r="E153" s="61">
        <f>IF(OR($D$34="IPCA + 5%",$D$34="IPCA + 6%",$D$34="IPCA + 3%", $D$34="IPCA + 7%", $D$34="12% a.a."),TEXT((C153-D153)*100, "0,00 p.p."),IF(OR($D$34="CDI",$D$34="5% a.a.", $D$34="IBOVESPA", $D$34="7% a.a."),IF(C153&lt;0,"-",TEXT((C153/D153), "0,00%")),0))</f>
        <v>0</v>
      </c>
    </row>
    <row r="154" spans="2:5" x14ac:dyDescent="0.2">
      <c r="B154" s="13"/>
      <c r="C154" s="13"/>
      <c r="D154" s="21"/>
      <c r="E154" s="22"/>
    </row>
    <row r="155" spans="2:5" x14ac:dyDescent="0.2">
      <c r="B155" s="32" t="s">
        <v>35</v>
      </c>
      <c r="C155" s="57">
        <v>45246.080000000002</v>
      </c>
      <c r="D155" s="24"/>
      <c r="E155" s="24"/>
    </row>
    <row r="156" spans="2:5" x14ac:dyDescent="0.2">
      <c r="B156" s="32" t="s">
        <v>36</v>
      </c>
      <c r="C156" s="22" t="s">
        <v>88</v>
      </c>
      <c r="D156" s="13"/>
      <c r="E156" s="13"/>
    </row>
    <row r="157" spans="2:5" x14ac:dyDescent="0.2">
      <c r="B157" s="32" t="s">
        <v>37</v>
      </c>
      <c r="C157" s="22" t="s">
        <v>74</v>
      </c>
      <c r="D157" s="13"/>
      <c r="E157" s="13"/>
    </row>
    <row r="158" spans="2:5" x14ac:dyDescent="0.2">
      <c r="B158" s="32" t="s">
        <v>38</v>
      </c>
      <c r="C158" s="22" t="s">
        <v>94</v>
      </c>
      <c r="D158" s="13"/>
      <c r="E158" s="13"/>
    </row>
    <row r="159" spans="2:5" x14ac:dyDescent="0.2">
      <c r="B159" s="32"/>
      <c r="C159" s="22"/>
      <c r="D159" s="13"/>
      <c r="E159" s="13"/>
    </row>
    <row r="160" spans="2:5" x14ac:dyDescent="0.2">
      <c r="B160" s="67" t="s">
        <v>95</v>
      </c>
      <c r="C160" s="22"/>
      <c r="D160" s="13"/>
      <c r="E160" s="13"/>
    </row>
    <row r="161" spans="2:9" ht="15" customHeight="1" x14ac:dyDescent="0.2">
      <c r="B161" s="67" t="s">
        <v>55</v>
      </c>
    </row>
    <row r="162" spans="2:9" ht="15" customHeight="1" x14ac:dyDescent="0.2"/>
    <row r="163" spans="2:9" ht="15" customHeight="1" x14ac:dyDescent="0.2">
      <c r="B163" s="33" t="s">
        <v>39</v>
      </c>
    </row>
    <row r="164" spans="2:9" ht="15" customHeight="1" x14ac:dyDescent="0.2">
      <c r="B164" s="45" t="s">
        <v>53</v>
      </c>
      <c r="C164" s="45"/>
      <c r="D164" s="45"/>
      <c r="E164" s="45"/>
      <c r="F164" s="45"/>
      <c r="G164" s="45"/>
      <c r="H164" s="45"/>
      <c r="I164" s="45"/>
    </row>
    <row r="165" spans="2:9" ht="15" customHeight="1" x14ac:dyDescent="0.2">
      <c r="B165" s="34" t="s">
        <v>54</v>
      </c>
      <c r="C165" s="45"/>
      <c r="D165" s="45"/>
      <c r="E165" s="45"/>
      <c r="F165" s="45"/>
      <c r="G165" s="45"/>
      <c r="H165" s="45"/>
      <c r="I165" s="45"/>
    </row>
    <row r="166" spans="2:9" ht="15" customHeight="1" x14ac:dyDescent="0.2"/>
    <row r="167" spans="2:9" x14ac:dyDescent="0.2">
      <c r="B167" s="34" t="e">
        <f>IF(C5="Felipe","Obs.: Conforme solicitado, deixo o Felipe em cópia para também receber as informações.","Obs.: Conforme solicitado, deixo o Felipe e "&amp;_xlfn.XLOOKUP(C2,'Base Consolidada'!A:A,'Base Consolidada'!F:F)&amp;" em cópia para também receberem as informações.")</f>
        <v>#N/A</v>
      </c>
      <c r="C167" s="34"/>
      <c r="D167" s="34"/>
      <c r="E167" s="34"/>
      <c r="F167" s="34"/>
      <c r="G167" s="34"/>
      <c r="H167" s="34"/>
      <c r="I167" s="34"/>
    </row>
    <row r="168" spans="2:9" x14ac:dyDescent="0.2">
      <c r="B168" s="34"/>
    </row>
    <row r="169" spans="2:9" x14ac:dyDescent="0.2">
      <c r="B169" t="s">
        <v>40</v>
      </c>
    </row>
    <row r="177" spans="2:7" x14ac:dyDescent="0.2">
      <c r="C177" s="23"/>
    </row>
    <row r="178" spans="2:7" x14ac:dyDescent="0.2">
      <c r="B178" s="48"/>
      <c r="C178" s="49"/>
      <c r="D178" s="43"/>
      <c r="E178" s="43"/>
      <c r="F178" s="42"/>
      <c r="G178" s="42"/>
    </row>
    <row r="179" spans="2:7" x14ac:dyDescent="0.2">
      <c r="B179" s="48"/>
      <c r="C179" s="40"/>
      <c r="D179" s="43"/>
      <c r="E179" s="43"/>
      <c r="F179" s="42"/>
      <c r="G179" s="42"/>
    </row>
    <row r="180" spans="2:7" x14ac:dyDescent="0.2">
      <c r="B180" s="48"/>
      <c r="C180" s="50"/>
      <c r="D180" s="50"/>
      <c r="E180" s="50"/>
      <c r="F180" s="42"/>
      <c r="G180" s="42"/>
    </row>
    <row r="181" spans="2:7" x14ac:dyDescent="0.2">
      <c r="B181" s="48"/>
      <c r="C181" s="50"/>
      <c r="D181" s="50"/>
      <c r="E181" s="50"/>
      <c r="F181" s="50"/>
      <c r="G181" s="42"/>
    </row>
    <row r="343" spans="3:3" x14ac:dyDescent="0.2">
      <c r="C343">
        <v>0</v>
      </c>
    </row>
    <row r="344" spans="3:3" x14ac:dyDescent="0.2">
      <c r="C344">
        <v>0</v>
      </c>
    </row>
    <row r="916" spans="3:5" x14ac:dyDescent="0.2">
      <c r="E916">
        <v>-1.2E-2</v>
      </c>
    </row>
    <row r="917" spans="3:5" x14ac:dyDescent="0.2">
      <c r="E917">
        <v>-1.2E-2</v>
      </c>
    </row>
    <row r="918" spans="3:5" x14ac:dyDescent="0.2">
      <c r="D918">
        <v>1.05</v>
      </c>
      <c r="E918">
        <v>-1.2E-2</v>
      </c>
    </row>
    <row r="919" spans="3:5" x14ac:dyDescent="0.2">
      <c r="D919">
        <v>1.05</v>
      </c>
      <c r="E919">
        <v>-1.2E-2</v>
      </c>
    </row>
    <row r="920" spans="3:5" x14ac:dyDescent="0.2">
      <c r="D920">
        <v>1.05</v>
      </c>
      <c r="E920">
        <v>-1.2E-2</v>
      </c>
    </row>
    <row r="921" spans="3:5" x14ac:dyDescent="0.2">
      <c r="D921">
        <v>1.05</v>
      </c>
      <c r="E921">
        <v>-1.2E-2</v>
      </c>
    </row>
    <row r="922" spans="3:5" x14ac:dyDescent="0.2">
      <c r="C922">
        <v>-2.9999999999999997E-4</v>
      </c>
      <c r="D922">
        <v>1.05</v>
      </c>
      <c r="E922">
        <v>-1.2E-2</v>
      </c>
    </row>
    <row r="923" spans="3:5" x14ac:dyDescent="0.2">
      <c r="C923">
        <v>-2.9999999999999997E-4</v>
      </c>
      <c r="D923">
        <v>1.05</v>
      </c>
      <c r="E923">
        <v>-1.2E-2</v>
      </c>
    </row>
    <row r="924" spans="3:5" x14ac:dyDescent="0.2">
      <c r="C924">
        <v>-2.9999999999999997E-4</v>
      </c>
      <c r="D924">
        <v>1.05</v>
      </c>
      <c r="E924">
        <v>-1.2E-2</v>
      </c>
    </row>
    <row r="925" spans="3:5" x14ac:dyDescent="0.2">
      <c r="C925">
        <v>-2.9999999999999997E-4</v>
      </c>
      <c r="D925">
        <v>1.05</v>
      </c>
      <c r="E925">
        <v>-1.2E-2</v>
      </c>
    </row>
    <row r="926" spans="3:5" x14ac:dyDescent="0.2">
      <c r="C926">
        <v>3.0000000000000001E-3</v>
      </c>
      <c r="D926">
        <v>1.85</v>
      </c>
    </row>
    <row r="927" spans="3:5" x14ac:dyDescent="0.2">
      <c r="C927">
        <v>164454.38</v>
      </c>
    </row>
    <row r="928" spans="3:5" x14ac:dyDescent="0.2">
      <c r="C928">
        <v>164454.38</v>
      </c>
    </row>
    <row r="929" spans="3:3" x14ac:dyDescent="0.2">
      <c r="C929" t="s">
        <v>27</v>
      </c>
    </row>
    <row r="930" spans="3:3" x14ac:dyDescent="0.2">
      <c r="C930" t="s">
        <v>28</v>
      </c>
    </row>
    <row r="931" spans="3:3" x14ac:dyDescent="0.2">
      <c r="C931" t="s">
        <v>29</v>
      </c>
    </row>
    <row r="1076" spans="3:3" x14ac:dyDescent="0.2">
      <c r="C1076">
        <v>0</v>
      </c>
    </row>
    <row r="1077" spans="3:3" x14ac:dyDescent="0.2">
      <c r="C1077">
        <v>0</v>
      </c>
    </row>
  </sheetData>
  <mergeCells count="26">
    <mergeCell ref="B13:B18"/>
    <mergeCell ref="B24:B29"/>
    <mergeCell ref="E28:F28"/>
    <mergeCell ref="E29:F29"/>
    <mergeCell ref="B100:E100"/>
    <mergeCell ref="B50:E50"/>
    <mergeCell ref="B60:E60"/>
    <mergeCell ref="B70:E70"/>
    <mergeCell ref="B80:E80"/>
    <mergeCell ref="B90:E90"/>
    <mergeCell ref="C8:D8"/>
    <mergeCell ref="C9:D9"/>
    <mergeCell ref="E25:F25"/>
    <mergeCell ref="E26:F26"/>
    <mergeCell ref="E27:F27"/>
    <mergeCell ref="E24:F24"/>
    <mergeCell ref="C7:D7"/>
    <mergeCell ref="C3:D3"/>
    <mergeCell ref="C4:D4"/>
    <mergeCell ref="C5:D5"/>
    <mergeCell ref="C6:D6"/>
    <mergeCell ref="B120:E120"/>
    <mergeCell ref="B130:E130"/>
    <mergeCell ref="B140:E140"/>
    <mergeCell ref="B150:E150"/>
    <mergeCell ref="B110:E110"/>
  </mergeCells>
  <phoneticPr fontId="10" type="noConversion"/>
  <conditionalFormatting sqref="C177">
    <cfRule type="expression" dxfId="28" priority="51">
      <formula>($C$13="Carteira moderada Offshore (5% a.a.)")</formula>
    </cfRule>
  </conditionalFormatting>
  <conditionalFormatting sqref="C56:C58">
    <cfRule type="expression" dxfId="27" priority="45">
      <formula>($C$13="Carteira moderada Offshore (5% a.a.)")</formula>
    </cfRule>
  </conditionalFormatting>
  <conditionalFormatting sqref="AD58">
    <cfRule type="expression" dxfId="26" priority="42">
      <formula>($C$13="Carteira moderada Offshore (5% a.a.)")</formula>
    </cfRule>
  </conditionalFormatting>
  <conditionalFormatting sqref="C55">
    <cfRule type="expression" dxfId="25" priority="33">
      <formula>$D$24&lt;&gt;"Offshore"</formula>
    </cfRule>
    <cfRule type="expression" dxfId="24" priority="35">
      <formula>$D$24="Offshore"</formula>
    </cfRule>
  </conditionalFormatting>
  <conditionalFormatting sqref="C95">
    <cfRule type="expression" dxfId="23" priority="23">
      <formula>$D$24="Offshore"</formula>
    </cfRule>
    <cfRule type="expression" dxfId="22" priority="24">
      <formula>$D$24&lt;&gt;"Offshore"</formula>
    </cfRule>
  </conditionalFormatting>
  <conditionalFormatting sqref="C105">
    <cfRule type="expression" dxfId="21" priority="21">
      <formula>$D$24="Offshore"</formula>
    </cfRule>
    <cfRule type="expression" dxfId="20" priority="22">
      <formula>$D$24&lt;&gt;"Offshore"</formula>
    </cfRule>
  </conditionalFormatting>
  <conditionalFormatting sqref="C115">
    <cfRule type="expression" dxfId="19" priority="19">
      <formula>$D$24="Offshore"</formula>
    </cfRule>
    <cfRule type="expression" dxfId="18" priority="20">
      <formula>$D$24&lt;&gt;"Offshore"</formula>
    </cfRule>
  </conditionalFormatting>
  <conditionalFormatting sqref="C65">
    <cfRule type="expression" dxfId="17" priority="17">
      <formula>$D$24&lt;&gt;"Offshore"</formula>
    </cfRule>
    <cfRule type="expression" dxfId="16" priority="18">
      <formula>$D$24="Offshore"</formula>
    </cfRule>
  </conditionalFormatting>
  <conditionalFormatting sqref="C85">
    <cfRule type="expression" dxfId="15" priority="15">
      <formula>$D$24="Offshore"</formula>
    </cfRule>
    <cfRule type="expression" dxfId="14" priority="16">
      <formula>$D$24&lt;&gt;"Offshore"</formula>
    </cfRule>
  </conditionalFormatting>
  <conditionalFormatting sqref="C75">
    <cfRule type="expression" dxfId="13" priority="10">
      <formula>$D$24="Offshore"</formula>
    </cfRule>
    <cfRule type="expression" dxfId="12" priority="11">
      <formula>$D$24&lt;&gt;"Offshore"</formula>
    </cfRule>
  </conditionalFormatting>
  <conditionalFormatting sqref="C78">
    <cfRule type="expression" dxfId="11" priority="9">
      <formula>($C$13="Carteira moderada Offshore (5% a.a.)")</formula>
    </cfRule>
  </conditionalFormatting>
  <conditionalFormatting sqref="D13:D23">
    <cfRule type="expression" dxfId="10" priority="131">
      <formula>COUNTIF(#REF!,TEXT(D13,"@"))&gt;0</formula>
    </cfRule>
  </conditionalFormatting>
  <conditionalFormatting sqref="C125">
    <cfRule type="expression" dxfId="9" priority="7">
      <formula>$D$24="Offshore"</formula>
    </cfRule>
    <cfRule type="expression" dxfId="8" priority="8">
      <formula>$D$24&lt;&gt;"Offshore"</formula>
    </cfRule>
  </conditionalFormatting>
  <conditionalFormatting sqref="C135">
    <cfRule type="expression" dxfId="7" priority="5">
      <formula>$D$24="Offshore"</formula>
    </cfRule>
    <cfRule type="expression" dxfId="6" priority="6">
      <formula>$D$24&lt;&gt;"Offshore"</formula>
    </cfRule>
  </conditionalFormatting>
  <conditionalFormatting sqref="C145">
    <cfRule type="expression" dxfId="5" priority="3">
      <formula>$D$24="Offshore"</formula>
    </cfRule>
    <cfRule type="expression" dxfId="4" priority="4">
      <formula>$D$24&lt;&gt;"Offshore"</formula>
    </cfRule>
  </conditionalFormatting>
  <conditionalFormatting sqref="C155">
    <cfRule type="expression" dxfId="3" priority="1">
      <formula>$D$24="Offshore"</formula>
    </cfRule>
    <cfRule type="expression" dxfId="2" priority="2">
      <formula>$D$24&lt;&gt;"Offshore"</formula>
    </cfRule>
  </conditionalFormatting>
  <dataValidations count="4">
    <dataValidation type="whole" allowBlank="1" showInputMessage="1" showErrorMessage="1" sqref="C11" xr:uid="{E7F83227-7683-451B-9EF1-CF9846CA49FD}">
      <formula1>1</formula1>
      <formula2>15</formula2>
    </dataValidation>
    <dataValidation type="list" allowBlank="1" showInputMessage="1" showErrorMessage="1" sqref="C3" xr:uid="{FEE2012B-F1F4-45DC-80F4-0214ADA69CC1}">
      <formula1>"Janeiro,Fevereiro,Março,Abril,Maio,Junho,Julho,Agosto,Setembro,Outubro,Novembro,Dezembro"</formula1>
    </dataValidation>
    <dataValidation type="list" allowBlank="1" showInputMessage="1" showErrorMessage="1" sqref="C9" xr:uid="{03BCB31C-AA58-4C06-90AE-5427FD255EF7}">
      <formula1>"Sim,Não"</formula1>
    </dataValidation>
    <dataValidation type="list" allowBlank="1" showInputMessage="1" showErrorMessage="1" sqref="C35:C36" xr:uid="{5794C98C-4989-48EF-B764-D52E007E8533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reexibir_carteiras">
                <anchor moveWithCells="1" sizeWithCells="1">
                  <from>
                    <xdr:col>5</xdr:col>
                    <xdr:colOff>101600</xdr:colOff>
                    <xdr:row>3</xdr:row>
                    <xdr:rowOff>63500</xdr:rowOff>
                  </from>
                  <to>
                    <xdr:col>7</xdr:col>
                    <xdr:colOff>25400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Módulo1.Ocultarcarteiras">
                <anchor moveWithCells="1" sizeWithCells="1">
                  <from>
                    <xdr:col>5</xdr:col>
                    <xdr:colOff>101600</xdr:colOff>
                    <xdr:row>0</xdr:row>
                    <xdr:rowOff>177800</xdr:rowOff>
                  </from>
                  <to>
                    <xdr:col>7</xdr:col>
                    <xdr:colOff>25400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Button 45">
              <controlPr defaultSize="0" print="0" autoFill="0" autoPict="0" macro="[0]!textosdesempenhos2">
                <anchor moveWithCells="1" sizeWithCells="1">
                  <from>
                    <xdr:col>5</xdr:col>
                    <xdr:colOff>88900</xdr:colOff>
                    <xdr:row>5</xdr:row>
                    <xdr:rowOff>177800</xdr:rowOff>
                  </from>
                  <to>
                    <xdr:col>7</xdr:col>
                    <xdr:colOff>25400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enviar_emailtexto">
                <anchor moveWithCells="1" sizeWithCells="1">
                  <from>
                    <xdr:col>7</xdr:col>
                    <xdr:colOff>76200</xdr:colOff>
                    <xdr:row>3</xdr:row>
                    <xdr:rowOff>38100</xdr:rowOff>
                  </from>
                  <to>
                    <xdr:col>8</xdr:col>
                    <xdr:colOff>469900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E90B451-4558-4149-B756-89F2C3AAA33B}">
          <x14:formula1>
            <xm:f>'Base Consolidada'!$A$2:$A$72</xm:f>
          </x14:formula1>
          <xm:sqref>D2</xm:sqref>
        </x14:dataValidation>
        <x14:dataValidation type="list" allowBlank="1" showInputMessage="1" showErrorMessage="1" xr:uid="{139B61B9-F9BD-446D-8BAE-D372402374C5}">
          <x14:formula1>
            <xm:f>'Base Nova'!$A$2:$A$1200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42416-D61F-4A68-94D7-152F75576A48}">
  <sheetPr codeName="Planilha2"/>
  <dimension ref="A1:G131"/>
  <sheetViews>
    <sheetView tabSelected="1" topLeftCell="C1" workbookViewId="0">
      <selection activeCell="E10" sqref="E10"/>
    </sheetView>
  </sheetViews>
  <sheetFormatPr baseColWidth="10" defaultColWidth="44.83203125" defaultRowHeight="15" x14ac:dyDescent="0.2"/>
  <cols>
    <col min="5" max="5" width="44.83203125" style="4"/>
  </cols>
  <sheetData>
    <row r="1" spans="1:7" x14ac:dyDescent="0.2">
      <c r="A1" s="5" t="s">
        <v>18</v>
      </c>
      <c r="B1" s="5" t="s">
        <v>19</v>
      </c>
      <c r="C1" s="5" t="s">
        <v>20</v>
      </c>
      <c r="D1" s="5" t="s">
        <v>21</v>
      </c>
      <c r="E1" s="6" t="s">
        <v>22</v>
      </c>
      <c r="F1" s="6" t="s">
        <v>23</v>
      </c>
      <c r="G1" s="5" t="s">
        <v>258</v>
      </c>
    </row>
    <row r="2" spans="1:7" x14ac:dyDescent="0.2">
      <c r="A2" s="9" t="s">
        <v>288</v>
      </c>
      <c r="B2" s="9" t="s">
        <v>285</v>
      </c>
      <c r="C2" s="9" t="s">
        <v>286</v>
      </c>
      <c r="D2" s="85" t="s">
        <v>287</v>
      </c>
      <c r="E2" s="9" t="s">
        <v>254</v>
      </c>
      <c r="F2" s="9" t="s">
        <v>293</v>
      </c>
      <c r="G2" s="9" t="s">
        <v>259</v>
      </c>
    </row>
    <row r="3" spans="1:7" x14ac:dyDescent="0.2">
      <c r="A3" s="9" t="s">
        <v>294</v>
      </c>
      <c r="B3" s="9" t="s">
        <v>289</v>
      </c>
      <c r="C3" s="9" t="s">
        <v>290</v>
      </c>
      <c r="D3" s="85" t="s">
        <v>291</v>
      </c>
      <c r="E3" s="9" t="s">
        <v>257</v>
      </c>
      <c r="F3" s="9" t="s">
        <v>292</v>
      </c>
      <c r="G3" s="9" t="s">
        <v>259</v>
      </c>
    </row>
    <row r="4" spans="1:7" x14ac:dyDescent="0.2">
      <c r="A4" s="9" t="s">
        <v>140</v>
      </c>
      <c r="B4" s="9" t="s">
        <v>140</v>
      </c>
      <c r="C4" s="9" t="s">
        <v>140</v>
      </c>
      <c r="D4" s="12">
        <v>0</v>
      </c>
      <c r="E4" s="9" t="s">
        <v>248</v>
      </c>
      <c r="F4" s="9" t="s">
        <v>248</v>
      </c>
      <c r="G4" s="9" t="s">
        <v>259</v>
      </c>
    </row>
    <row r="5" spans="1:7" x14ac:dyDescent="0.2">
      <c r="A5" s="9" t="s">
        <v>199</v>
      </c>
      <c r="B5" s="9" t="s">
        <v>199</v>
      </c>
      <c r="C5" s="9" t="s">
        <v>199</v>
      </c>
      <c r="D5" s="12">
        <v>0</v>
      </c>
      <c r="E5" s="9" t="s">
        <v>248</v>
      </c>
      <c r="F5" s="9" t="s">
        <v>248</v>
      </c>
      <c r="G5" s="9" t="s">
        <v>259</v>
      </c>
    </row>
    <row r="6" spans="1:7" x14ac:dyDescent="0.2">
      <c r="A6" s="9" t="s">
        <v>219</v>
      </c>
      <c r="B6" s="9" t="s">
        <v>219</v>
      </c>
      <c r="C6" s="9" t="s">
        <v>219</v>
      </c>
      <c r="D6" s="12">
        <v>0</v>
      </c>
      <c r="E6" s="9" t="s">
        <v>248</v>
      </c>
      <c r="F6" s="9" t="s">
        <v>248</v>
      </c>
      <c r="G6" s="9" t="s">
        <v>259</v>
      </c>
    </row>
    <row r="7" spans="1:7" x14ac:dyDescent="0.2">
      <c r="A7" s="9" t="s">
        <v>222</v>
      </c>
      <c r="B7" s="9" t="s">
        <v>222</v>
      </c>
      <c r="C7" s="9" t="s">
        <v>222</v>
      </c>
      <c r="D7" s="12">
        <v>0</v>
      </c>
      <c r="E7" s="9" t="s">
        <v>248</v>
      </c>
      <c r="F7" s="9" t="s">
        <v>248</v>
      </c>
      <c r="G7" s="9" t="s">
        <v>259</v>
      </c>
    </row>
    <row r="8" spans="1:7" x14ac:dyDescent="0.2">
      <c r="A8" s="9" t="s">
        <v>232</v>
      </c>
      <c r="B8" s="9" t="s">
        <v>232</v>
      </c>
      <c r="C8" s="9" t="s">
        <v>232</v>
      </c>
      <c r="D8" s="12">
        <v>0</v>
      </c>
      <c r="E8" s="9" t="s">
        <v>248</v>
      </c>
      <c r="F8" s="9" t="s">
        <v>248</v>
      </c>
      <c r="G8" s="9" t="s">
        <v>259</v>
      </c>
    </row>
    <row r="9" spans="1:7" x14ac:dyDescent="0.2">
      <c r="A9" s="9" t="s">
        <v>130</v>
      </c>
      <c r="B9" s="9" t="s">
        <v>130</v>
      </c>
      <c r="C9" s="9" t="s">
        <v>130</v>
      </c>
      <c r="D9" s="12">
        <v>0</v>
      </c>
      <c r="E9" s="9" t="s">
        <v>249</v>
      </c>
      <c r="F9" s="9" t="s">
        <v>249</v>
      </c>
      <c r="G9" s="9" t="s">
        <v>260</v>
      </c>
    </row>
    <row r="10" spans="1:7" x14ac:dyDescent="0.2">
      <c r="A10" s="9" t="s">
        <v>149</v>
      </c>
      <c r="B10" s="9" t="s">
        <v>149</v>
      </c>
      <c r="C10" s="9" t="s">
        <v>149</v>
      </c>
      <c r="D10" s="12">
        <v>0</v>
      </c>
      <c r="E10" s="9" t="s">
        <v>249</v>
      </c>
      <c r="F10" s="9" t="s">
        <v>249</v>
      </c>
      <c r="G10" s="9" t="s">
        <v>260</v>
      </c>
    </row>
    <row r="11" spans="1:7" x14ac:dyDescent="0.2">
      <c r="A11" s="9" t="s">
        <v>191</v>
      </c>
      <c r="B11" s="9" t="s">
        <v>191</v>
      </c>
      <c r="C11" s="9" t="s">
        <v>191</v>
      </c>
      <c r="D11" s="12">
        <v>0</v>
      </c>
      <c r="E11" s="9" t="s">
        <v>249</v>
      </c>
      <c r="F11" s="9" t="s">
        <v>249</v>
      </c>
      <c r="G11" s="9" t="s">
        <v>260</v>
      </c>
    </row>
    <row r="12" spans="1:7" x14ac:dyDescent="0.2">
      <c r="A12" s="9" t="s">
        <v>213</v>
      </c>
      <c r="B12" s="9" t="s">
        <v>213</v>
      </c>
      <c r="C12" s="9" t="s">
        <v>213</v>
      </c>
      <c r="D12" s="12">
        <v>0</v>
      </c>
      <c r="E12" s="9" t="s">
        <v>249</v>
      </c>
      <c r="F12" s="9" t="s">
        <v>249</v>
      </c>
      <c r="G12" s="9" t="s">
        <v>260</v>
      </c>
    </row>
    <row r="13" spans="1:7" x14ac:dyDescent="0.2">
      <c r="A13" s="9" t="s">
        <v>113</v>
      </c>
      <c r="B13" s="9" t="s">
        <v>113</v>
      </c>
      <c r="C13" s="9" t="s">
        <v>113</v>
      </c>
      <c r="D13" s="12">
        <v>0</v>
      </c>
      <c r="E13" s="9" t="s">
        <v>250</v>
      </c>
      <c r="F13" s="9" t="s">
        <v>250</v>
      </c>
      <c r="G13" s="9" t="s">
        <v>261</v>
      </c>
    </row>
    <row r="14" spans="1:7" x14ac:dyDescent="0.2">
      <c r="A14" s="9" t="s">
        <v>139</v>
      </c>
      <c r="B14" s="9" t="s">
        <v>139</v>
      </c>
      <c r="C14" s="9" t="s">
        <v>139</v>
      </c>
      <c r="D14" s="12">
        <v>0</v>
      </c>
      <c r="E14" s="9" t="s">
        <v>250</v>
      </c>
      <c r="F14" s="9" t="s">
        <v>250</v>
      </c>
      <c r="G14" s="9" t="s">
        <v>261</v>
      </c>
    </row>
    <row r="15" spans="1:7" x14ac:dyDescent="0.2">
      <c r="A15" s="9" t="s">
        <v>142</v>
      </c>
      <c r="B15" s="9" t="s">
        <v>142</v>
      </c>
      <c r="C15" s="9" t="s">
        <v>142</v>
      </c>
      <c r="D15" s="12">
        <v>0</v>
      </c>
      <c r="E15" s="9" t="s">
        <v>250</v>
      </c>
      <c r="F15" s="9" t="s">
        <v>250</v>
      </c>
      <c r="G15" s="9" t="s">
        <v>261</v>
      </c>
    </row>
    <row r="16" spans="1:7" x14ac:dyDescent="0.2">
      <c r="A16" s="9" t="s">
        <v>143</v>
      </c>
      <c r="B16" s="9" t="s">
        <v>143</v>
      </c>
      <c r="C16" s="9" t="s">
        <v>143</v>
      </c>
      <c r="D16" s="12">
        <v>0</v>
      </c>
      <c r="E16" s="9" t="s">
        <v>250</v>
      </c>
      <c r="F16" s="9" t="s">
        <v>250</v>
      </c>
      <c r="G16" s="9" t="s">
        <v>261</v>
      </c>
    </row>
    <row r="17" spans="1:7" x14ac:dyDescent="0.2">
      <c r="A17" s="9" t="s">
        <v>151</v>
      </c>
      <c r="B17" s="9" t="s">
        <v>151</v>
      </c>
      <c r="C17" s="9" t="s">
        <v>151</v>
      </c>
      <c r="D17" s="12">
        <v>0</v>
      </c>
      <c r="E17" s="9" t="s">
        <v>250</v>
      </c>
      <c r="F17" s="9" t="s">
        <v>250</v>
      </c>
      <c r="G17" s="9" t="s">
        <v>261</v>
      </c>
    </row>
    <row r="18" spans="1:7" x14ac:dyDescent="0.2">
      <c r="A18" s="9" t="s">
        <v>177</v>
      </c>
      <c r="B18" s="9" t="s">
        <v>177</v>
      </c>
      <c r="C18" s="9" t="s">
        <v>177</v>
      </c>
      <c r="D18" s="12">
        <v>0</v>
      </c>
      <c r="E18" s="9" t="s">
        <v>250</v>
      </c>
      <c r="F18" s="9" t="s">
        <v>250</v>
      </c>
      <c r="G18" s="9" t="s">
        <v>261</v>
      </c>
    </row>
    <row r="19" spans="1:7" x14ac:dyDescent="0.2">
      <c r="A19" s="9" t="s">
        <v>182</v>
      </c>
      <c r="B19" s="9" t="s">
        <v>182</v>
      </c>
      <c r="C19" s="9" t="s">
        <v>182</v>
      </c>
      <c r="D19" s="12">
        <v>0</v>
      </c>
      <c r="E19" s="9" t="s">
        <v>250</v>
      </c>
      <c r="F19" s="9" t="s">
        <v>250</v>
      </c>
      <c r="G19" s="9" t="s">
        <v>261</v>
      </c>
    </row>
    <row r="20" spans="1:7" x14ac:dyDescent="0.2">
      <c r="A20" s="9" t="s">
        <v>185</v>
      </c>
      <c r="B20" s="9" t="s">
        <v>185</v>
      </c>
      <c r="C20" s="9" t="s">
        <v>185</v>
      </c>
      <c r="D20" s="12">
        <v>0</v>
      </c>
      <c r="E20" s="9" t="s">
        <v>250</v>
      </c>
      <c r="F20" s="9" t="s">
        <v>250</v>
      </c>
      <c r="G20" s="9" t="s">
        <v>261</v>
      </c>
    </row>
    <row r="21" spans="1:7" x14ac:dyDescent="0.2">
      <c r="A21" s="9" t="s">
        <v>186</v>
      </c>
      <c r="B21" s="9" t="s">
        <v>186</v>
      </c>
      <c r="C21" s="9" t="s">
        <v>186</v>
      </c>
      <c r="D21" s="12">
        <v>0</v>
      </c>
      <c r="E21" s="9" t="s">
        <v>250</v>
      </c>
      <c r="F21" s="9" t="s">
        <v>250</v>
      </c>
      <c r="G21" s="9" t="s">
        <v>261</v>
      </c>
    </row>
    <row r="22" spans="1:7" x14ac:dyDescent="0.2">
      <c r="A22" s="9" t="s">
        <v>189</v>
      </c>
      <c r="B22" s="9" t="s">
        <v>189</v>
      </c>
      <c r="C22" s="9" t="s">
        <v>189</v>
      </c>
      <c r="D22" s="12">
        <v>0</v>
      </c>
      <c r="E22" s="9" t="s">
        <v>250</v>
      </c>
      <c r="F22" s="9" t="s">
        <v>250</v>
      </c>
      <c r="G22" s="9" t="s">
        <v>261</v>
      </c>
    </row>
    <row r="23" spans="1:7" x14ac:dyDescent="0.2">
      <c r="A23" s="9" t="s">
        <v>190</v>
      </c>
      <c r="B23" s="9" t="s">
        <v>190</v>
      </c>
      <c r="C23" s="9" t="s">
        <v>190</v>
      </c>
      <c r="D23" s="12">
        <v>0</v>
      </c>
      <c r="E23" s="9" t="s">
        <v>250</v>
      </c>
      <c r="F23" s="9" t="s">
        <v>250</v>
      </c>
      <c r="G23" s="9" t="s">
        <v>261</v>
      </c>
    </row>
    <row r="24" spans="1:7" x14ac:dyDescent="0.2">
      <c r="A24" s="9" t="s">
        <v>193</v>
      </c>
      <c r="B24" s="9" t="s">
        <v>193</v>
      </c>
      <c r="C24" s="9" t="s">
        <v>193</v>
      </c>
      <c r="D24" s="12">
        <v>0</v>
      </c>
      <c r="E24" s="9" t="s">
        <v>250</v>
      </c>
      <c r="F24" s="9" t="s">
        <v>250</v>
      </c>
      <c r="G24" s="9" t="s">
        <v>261</v>
      </c>
    </row>
    <row r="25" spans="1:7" x14ac:dyDescent="0.2">
      <c r="A25" s="9" t="s">
        <v>202</v>
      </c>
      <c r="B25" s="9" t="s">
        <v>202</v>
      </c>
      <c r="C25" s="9" t="s">
        <v>202</v>
      </c>
      <c r="D25" s="12">
        <v>0</v>
      </c>
      <c r="E25" s="9" t="s">
        <v>250</v>
      </c>
      <c r="F25" s="9" t="s">
        <v>250</v>
      </c>
      <c r="G25" s="9" t="s">
        <v>261</v>
      </c>
    </row>
    <row r="26" spans="1:7" x14ac:dyDescent="0.2">
      <c r="A26" s="9" t="s">
        <v>211</v>
      </c>
      <c r="B26" s="9" t="s">
        <v>211</v>
      </c>
      <c r="C26" s="9" t="s">
        <v>211</v>
      </c>
      <c r="D26" s="12">
        <v>0</v>
      </c>
      <c r="E26" s="9" t="s">
        <v>250</v>
      </c>
      <c r="F26" s="9" t="s">
        <v>250</v>
      </c>
      <c r="G26" s="9" t="s">
        <v>261</v>
      </c>
    </row>
    <row r="27" spans="1:7" x14ac:dyDescent="0.2">
      <c r="A27" s="9" t="s">
        <v>221</v>
      </c>
      <c r="B27" s="9" t="s">
        <v>221</v>
      </c>
      <c r="C27" s="9" t="s">
        <v>221</v>
      </c>
      <c r="D27" s="12">
        <v>0</v>
      </c>
      <c r="E27" s="9" t="s">
        <v>250</v>
      </c>
      <c r="F27" s="9" t="s">
        <v>250</v>
      </c>
      <c r="G27" s="9" t="s">
        <v>261</v>
      </c>
    </row>
    <row r="28" spans="1:7" x14ac:dyDescent="0.2">
      <c r="A28" s="9" t="s">
        <v>234</v>
      </c>
      <c r="B28" s="9" t="s">
        <v>234</v>
      </c>
      <c r="C28" s="9" t="s">
        <v>234</v>
      </c>
      <c r="D28" s="12">
        <v>0</v>
      </c>
      <c r="E28" s="9" t="s">
        <v>250</v>
      </c>
      <c r="F28" s="9" t="s">
        <v>250</v>
      </c>
      <c r="G28" s="9" t="s">
        <v>261</v>
      </c>
    </row>
    <row r="29" spans="1:7" x14ac:dyDescent="0.2">
      <c r="A29" s="9" t="s">
        <v>240</v>
      </c>
      <c r="B29" s="9" t="s">
        <v>240</v>
      </c>
      <c r="C29" s="9" t="s">
        <v>240</v>
      </c>
      <c r="D29" s="12">
        <v>0</v>
      </c>
      <c r="E29" s="9" t="s">
        <v>250</v>
      </c>
      <c r="F29" s="9" t="s">
        <v>250</v>
      </c>
      <c r="G29" s="9" t="s">
        <v>261</v>
      </c>
    </row>
    <row r="30" spans="1:7" x14ac:dyDescent="0.2">
      <c r="A30" s="9" t="s">
        <v>114</v>
      </c>
      <c r="B30" s="9" t="s">
        <v>114</v>
      </c>
      <c r="C30" s="9" t="s">
        <v>114</v>
      </c>
      <c r="D30" s="12">
        <v>0</v>
      </c>
      <c r="E30" s="9" t="s">
        <v>251</v>
      </c>
      <c r="F30" s="9" t="s">
        <v>251</v>
      </c>
      <c r="G30" s="9" t="s">
        <v>262</v>
      </c>
    </row>
    <row r="31" spans="1:7" x14ac:dyDescent="0.2">
      <c r="A31" s="9" t="s">
        <v>117</v>
      </c>
      <c r="B31" s="9" t="s">
        <v>117</v>
      </c>
      <c r="C31" s="9" t="s">
        <v>117</v>
      </c>
      <c r="D31" s="12">
        <v>0</v>
      </c>
      <c r="E31" s="9" t="s">
        <v>251</v>
      </c>
      <c r="F31" s="9" t="s">
        <v>251</v>
      </c>
      <c r="G31" s="9" t="s">
        <v>262</v>
      </c>
    </row>
    <row r="32" spans="1:7" x14ac:dyDescent="0.2">
      <c r="A32" s="9" t="s">
        <v>124</v>
      </c>
      <c r="B32" s="9" t="s">
        <v>124</v>
      </c>
      <c r="C32" s="9" t="s">
        <v>124</v>
      </c>
      <c r="D32" s="12">
        <v>0</v>
      </c>
      <c r="E32" s="9" t="s">
        <v>251</v>
      </c>
      <c r="F32" s="9" t="s">
        <v>251</v>
      </c>
      <c r="G32" s="9" t="s">
        <v>262</v>
      </c>
    </row>
    <row r="33" spans="1:7" x14ac:dyDescent="0.2">
      <c r="A33" s="9" t="s">
        <v>133</v>
      </c>
      <c r="B33" s="9" t="s">
        <v>133</v>
      </c>
      <c r="C33" s="9" t="s">
        <v>133</v>
      </c>
      <c r="D33" s="12">
        <v>0</v>
      </c>
      <c r="E33" s="9" t="s">
        <v>251</v>
      </c>
      <c r="F33" s="9" t="s">
        <v>251</v>
      </c>
      <c r="G33" s="9" t="s">
        <v>262</v>
      </c>
    </row>
    <row r="34" spans="1:7" x14ac:dyDescent="0.2">
      <c r="A34" s="9" t="s">
        <v>146</v>
      </c>
      <c r="B34" s="9" t="s">
        <v>146</v>
      </c>
      <c r="C34" s="9" t="s">
        <v>146</v>
      </c>
      <c r="D34" s="12">
        <v>0</v>
      </c>
      <c r="E34" s="9" t="s">
        <v>251</v>
      </c>
      <c r="F34" s="9" t="s">
        <v>251</v>
      </c>
      <c r="G34" s="9" t="s">
        <v>262</v>
      </c>
    </row>
    <row r="35" spans="1:7" x14ac:dyDescent="0.2">
      <c r="A35" s="9" t="s">
        <v>165</v>
      </c>
      <c r="B35" s="9" t="s">
        <v>165</v>
      </c>
      <c r="C35" s="9" t="s">
        <v>165</v>
      </c>
      <c r="D35" s="12">
        <v>0</v>
      </c>
      <c r="E35" s="9" t="s">
        <v>251</v>
      </c>
      <c r="F35" s="9" t="s">
        <v>251</v>
      </c>
      <c r="G35" s="9" t="s">
        <v>262</v>
      </c>
    </row>
    <row r="36" spans="1:7" x14ac:dyDescent="0.2">
      <c r="A36" s="9" t="s">
        <v>170</v>
      </c>
      <c r="B36" s="9" t="s">
        <v>170</v>
      </c>
      <c r="C36" s="9" t="s">
        <v>170</v>
      </c>
      <c r="D36" s="12">
        <v>0</v>
      </c>
      <c r="E36" s="9" t="s">
        <v>251</v>
      </c>
      <c r="F36" s="9" t="s">
        <v>251</v>
      </c>
      <c r="G36" s="9" t="s">
        <v>262</v>
      </c>
    </row>
    <row r="37" spans="1:7" x14ac:dyDescent="0.2">
      <c r="A37" s="9" t="s">
        <v>171</v>
      </c>
      <c r="B37" s="9" t="s">
        <v>171</v>
      </c>
      <c r="C37" s="9" t="s">
        <v>171</v>
      </c>
      <c r="D37" s="12">
        <v>0</v>
      </c>
      <c r="E37" s="9" t="s">
        <v>251</v>
      </c>
      <c r="F37" s="9" t="s">
        <v>251</v>
      </c>
      <c r="G37" s="9" t="s">
        <v>262</v>
      </c>
    </row>
    <row r="38" spans="1:7" x14ac:dyDescent="0.2">
      <c r="A38" s="9" t="s">
        <v>175</v>
      </c>
      <c r="B38" s="9" t="s">
        <v>175</v>
      </c>
      <c r="C38" s="9" t="s">
        <v>175</v>
      </c>
      <c r="D38" s="12">
        <v>0</v>
      </c>
      <c r="E38" s="9" t="s">
        <v>251</v>
      </c>
      <c r="F38" s="9" t="s">
        <v>251</v>
      </c>
      <c r="G38" s="9" t="s">
        <v>262</v>
      </c>
    </row>
    <row r="39" spans="1:7" x14ac:dyDescent="0.2">
      <c r="A39" s="9" t="s">
        <v>176</v>
      </c>
      <c r="B39" s="9" t="s">
        <v>176</v>
      </c>
      <c r="C39" s="9" t="s">
        <v>176</v>
      </c>
      <c r="D39" s="12">
        <v>0</v>
      </c>
      <c r="E39" s="9" t="s">
        <v>251</v>
      </c>
      <c r="F39" s="9" t="s">
        <v>251</v>
      </c>
      <c r="G39" s="9" t="s">
        <v>262</v>
      </c>
    </row>
    <row r="40" spans="1:7" x14ac:dyDescent="0.2">
      <c r="A40" s="9" t="s">
        <v>180</v>
      </c>
      <c r="B40" s="9" t="s">
        <v>180</v>
      </c>
      <c r="C40" s="9" t="s">
        <v>180</v>
      </c>
      <c r="D40" s="12">
        <v>0</v>
      </c>
      <c r="E40" s="9" t="s">
        <v>251</v>
      </c>
      <c r="F40" s="9" t="s">
        <v>251</v>
      </c>
      <c r="G40" s="9" t="s">
        <v>262</v>
      </c>
    </row>
    <row r="41" spans="1:7" x14ac:dyDescent="0.2">
      <c r="A41" s="9" t="s">
        <v>192</v>
      </c>
      <c r="B41" s="9" t="s">
        <v>192</v>
      </c>
      <c r="C41" s="9" t="s">
        <v>192</v>
      </c>
      <c r="D41" s="12">
        <v>0</v>
      </c>
      <c r="E41" s="9" t="s">
        <v>251</v>
      </c>
      <c r="F41" s="9" t="s">
        <v>251</v>
      </c>
      <c r="G41" s="9" t="s">
        <v>262</v>
      </c>
    </row>
    <row r="42" spans="1:7" x14ac:dyDescent="0.2">
      <c r="A42" s="9" t="s">
        <v>200</v>
      </c>
      <c r="B42" s="9" t="s">
        <v>200</v>
      </c>
      <c r="C42" s="9" t="s">
        <v>200</v>
      </c>
      <c r="D42" s="12">
        <v>0</v>
      </c>
      <c r="E42" s="9" t="s">
        <v>251</v>
      </c>
      <c r="F42" s="9" t="s">
        <v>251</v>
      </c>
      <c r="G42" s="9" t="s">
        <v>262</v>
      </c>
    </row>
    <row r="43" spans="1:7" x14ac:dyDescent="0.2">
      <c r="A43" s="9" t="s">
        <v>204</v>
      </c>
      <c r="B43" s="9" t="s">
        <v>204</v>
      </c>
      <c r="C43" s="9" t="s">
        <v>204</v>
      </c>
      <c r="D43" s="12">
        <v>0</v>
      </c>
      <c r="E43" s="9" t="s">
        <v>251</v>
      </c>
      <c r="F43" s="9" t="s">
        <v>251</v>
      </c>
      <c r="G43" s="9" t="s">
        <v>262</v>
      </c>
    </row>
    <row r="44" spans="1:7" x14ac:dyDescent="0.2">
      <c r="A44" s="9" t="s">
        <v>206</v>
      </c>
      <c r="B44" s="9" t="s">
        <v>206</v>
      </c>
      <c r="C44" s="9" t="s">
        <v>206</v>
      </c>
      <c r="D44" s="12">
        <v>0</v>
      </c>
      <c r="E44" s="9" t="s">
        <v>251</v>
      </c>
      <c r="F44" s="9" t="s">
        <v>251</v>
      </c>
      <c r="G44" s="9" t="s">
        <v>262</v>
      </c>
    </row>
    <row r="45" spans="1:7" x14ac:dyDescent="0.2">
      <c r="A45" s="9" t="s">
        <v>208</v>
      </c>
      <c r="B45" s="9" t="s">
        <v>208</v>
      </c>
      <c r="C45" s="9" t="s">
        <v>208</v>
      </c>
      <c r="D45" s="12">
        <v>0</v>
      </c>
      <c r="E45" s="9" t="s">
        <v>251</v>
      </c>
      <c r="F45" s="9" t="s">
        <v>251</v>
      </c>
      <c r="G45" s="9" t="s">
        <v>262</v>
      </c>
    </row>
    <row r="46" spans="1:7" x14ac:dyDescent="0.2">
      <c r="A46" s="9" t="s">
        <v>233</v>
      </c>
      <c r="B46" s="9" t="s">
        <v>233</v>
      </c>
      <c r="C46" s="9" t="s">
        <v>233</v>
      </c>
      <c r="D46" s="12">
        <v>0</v>
      </c>
      <c r="E46" s="9" t="s">
        <v>251</v>
      </c>
      <c r="F46" s="9" t="s">
        <v>251</v>
      </c>
      <c r="G46" s="9" t="s">
        <v>262</v>
      </c>
    </row>
    <row r="47" spans="1:7" x14ac:dyDescent="0.2">
      <c r="A47" s="9" t="s">
        <v>235</v>
      </c>
      <c r="B47" s="9" t="s">
        <v>235</v>
      </c>
      <c r="C47" s="9" t="s">
        <v>235</v>
      </c>
      <c r="D47" s="12">
        <v>0</v>
      </c>
      <c r="E47" s="9" t="s">
        <v>251</v>
      </c>
      <c r="F47" s="9" t="s">
        <v>251</v>
      </c>
      <c r="G47" s="9" t="s">
        <v>262</v>
      </c>
    </row>
    <row r="48" spans="1:7" x14ac:dyDescent="0.2">
      <c r="A48" s="9" t="s">
        <v>237</v>
      </c>
      <c r="B48" s="9" t="s">
        <v>237</v>
      </c>
      <c r="C48" s="9" t="s">
        <v>237</v>
      </c>
      <c r="D48" s="12">
        <v>0</v>
      </c>
      <c r="E48" s="9" t="s">
        <v>251</v>
      </c>
      <c r="F48" s="9" t="s">
        <v>251</v>
      </c>
      <c r="G48" s="9" t="s">
        <v>262</v>
      </c>
    </row>
    <row r="49" spans="1:7" x14ac:dyDescent="0.2">
      <c r="A49" s="9" t="s">
        <v>132</v>
      </c>
      <c r="B49" s="9" t="s">
        <v>132</v>
      </c>
      <c r="C49" s="9" t="s">
        <v>132</v>
      </c>
      <c r="D49" s="12">
        <v>0</v>
      </c>
      <c r="E49" s="9" t="s">
        <v>252</v>
      </c>
      <c r="F49" s="9" t="s">
        <v>252</v>
      </c>
      <c r="G49" s="9" t="s">
        <v>263</v>
      </c>
    </row>
    <row r="50" spans="1:7" x14ac:dyDescent="0.2">
      <c r="A50" s="9" t="s">
        <v>178</v>
      </c>
      <c r="B50" s="9" t="s">
        <v>178</v>
      </c>
      <c r="C50" s="9" t="s">
        <v>178</v>
      </c>
      <c r="D50" s="12">
        <v>0</v>
      </c>
      <c r="E50" s="9" t="s">
        <v>252</v>
      </c>
      <c r="F50" s="9" t="s">
        <v>252</v>
      </c>
      <c r="G50" s="9" t="s">
        <v>263</v>
      </c>
    </row>
    <row r="51" spans="1:7" x14ac:dyDescent="0.2">
      <c r="A51" s="9" t="s">
        <v>188</v>
      </c>
      <c r="B51" s="9" t="s">
        <v>188</v>
      </c>
      <c r="C51" s="9" t="s">
        <v>188</v>
      </c>
      <c r="D51" s="12">
        <v>0</v>
      </c>
      <c r="E51" s="9" t="s">
        <v>252</v>
      </c>
      <c r="F51" s="9" t="s">
        <v>252</v>
      </c>
      <c r="G51" s="9" t="s">
        <v>263</v>
      </c>
    </row>
    <row r="52" spans="1:7" x14ac:dyDescent="0.2">
      <c r="A52" s="9" t="s">
        <v>197</v>
      </c>
      <c r="B52" s="9" t="s">
        <v>197</v>
      </c>
      <c r="C52" s="9" t="s">
        <v>197</v>
      </c>
      <c r="D52" s="12">
        <v>0</v>
      </c>
      <c r="E52" s="9" t="s">
        <v>252</v>
      </c>
      <c r="F52" s="9" t="s">
        <v>252</v>
      </c>
      <c r="G52" s="9" t="s">
        <v>263</v>
      </c>
    </row>
    <row r="53" spans="1:7" x14ac:dyDescent="0.2">
      <c r="A53" s="9" t="s">
        <v>144</v>
      </c>
      <c r="B53" s="9" t="s">
        <v>144</v>
      </c>
      <c r="C53" s="9" t="s">
        <v>144</v>
      </c>
      <c r="D53" s="12">
        <v>0</v>
      </c>
      <c r="E53" s="9" t="s">
        <v>252</v>
      </c>
      <c r="F53" s="9" t="s">
        <v>252</v>
      </c>
      <c r="G53" s="9" t="s">
        <v>263</v>
      </c>
    </row>
    <row r="54" spans="1:7" x14ac:dyDescent="0.2">
      <c r="A54" s="9" t="s">
        <v>153</v>
      </c>
      <c r="B54" s="9" t="s">
        <v>153</v>
      </c>
      <c r="C54" s="9" t="s">
        <v>153</v>
      </c>
      <c r="D54" s="12">
        <v>0</v>
      </c>
      <c r="E54" s="9" t="s">
        <v>252</v>
      </c>
      <c r="F54" s="9" t="s">
        <v>252</v>
      </c>
      <c r="G54" s="9" t="s">
        <v>263</v>
      </c>
    </row>
    <row r="55" spans="1:7" x14ac:dyDescent="0.2">
      <c r="A55" s="9" t="s">
        <v>169</v>
      </c>
      <c r="B55" s="9" t="s">
        <v>169</v>
      </c>
      <c r="C55" s="9" t="s">
        <v>169</v>
      </c>
      <c r="D55" s="12">
        <v>0</v>
      </c>
      <c r="E55" s="9" t="s">
        <v>252</v>
      </c>
      <c r="F55" s="9" t="s">
        <v>252</v>
      </c>
      <c r="G55" s="9" t="s">
        <v>263</v>
      </c>
    </row>
    <row r="56" spans="1:7" x14ac:dyDescent="0.2">
      <c r="A56" s="9" t="s">
        <v>224</v>
      </c>
      <c r="B56" s="9" t="s">
        <v>224</v>
      </c>
      <c r="C56" s="9" t="s">
        <v>224</v>
      </c>
      <c r="D56" s="12">
        <v>0</v>
      </c>
      <c r="E56" s="9" t="s">
        <v>252</v>
      </c>
      <c r="F56" s="9" t="s">
        <v>252</v>
      </c>
      <c r="G56" s="9" t="s">
        <v>263</v>
      </c>
    </row>
    <row r="57" spans="1:7" x14ac:dyDescent="0.2">
      <c r="A57" s="9" t="s">
        <v>134</v>
      </c>
      <c r="B57" s="9" t="s">
        <v>134</v>
      </c>
      <c r="C57" s="9" t="s">
        <v>134</v>
      </c>
      <c r="D57" s="12">
        <v>0</v>
      </c>
      <c r="E57" s="9" t="s">
        <v>253</v>
      </c>
      <c r="F57" s="9" t="s">
        <v>253</v>
      </c>
      <c r="G57" s="9" t="s">
        <v>264</v>
      </c>
    </row>
    <row r="58" spans="1:7" x14ac:dyDescent="0.2">
      <c r="A58" s="9" t="s">
        <v>137</v>
      </c>
      <c r="B58" s="9" t="s">
        <v>137</v>
      </c>
      <c r="C58" s="9" t="s">
        <v>137</v>
      </c>
      <c r="D58" s="12">
        <v>0</v>
      </c>
      <c r="E58" s="9" t="s">
        <v>253</v>
      </c>
      <c r="F58" s="9" t="s">
        <v>253</v>
      </c>
      <c r="G58" s="9" t="s">
        <v>264</v>
      </c>
    </row>
    <row r="59" spans="1:7" x14ac:dyDescent="0.2">
      <c r="A59" s="9" t="s">
        <v>160</v>
      </c>
      <c r="B59" s="9" t="s">
        <v>160</v>
      </c>
      <c r="C59" s="9" t="s">
        <v>160</v>
      </c>
      <c r="D59" s="12">
        <v>0</v>
      </c>
      <c r="E59" s="9" t="s">
        <v>253</v>
      </c>
      <c r="F59" s="9" t="s">
        <v>253</v>
      </c>
      <c r="G59" s="9" t="s">
        <v>264</v>
      </c>
    </row>
    <row r="60" spans="1:7" x14ac:dyDescent="0.2">
      <c r="A60" s="9" t="s">
        <v>163</v>
      </c>
      <c r="B60" s="9" t="s">
        <v>163</v>
      </c>
      <c r="C60" s="9" t="s">
        <v>163</v>
      </c>
      <c r="D60" s="12">
        <v>0</v>
      </c>
      <c r="E60" s="9" t="s">
        <v>253</v>
      </c>
      <c r="F60" s="9" t="s">
        <v>253</v>
      </c>
      <c r="G60" s="9" t="s">
        <v>264</v>
      </c>
    </row>
    <row r="61" spans="1:7" x14ac:dyDescent="0.2">
      <c r="A61" s="9" t="s">
        <v>172</v>
      </c>
      <c r="B61" s="9" t="s">
        <v>172</v>
      </c>
      <c r="C61" s="9" t="s">
        <v>172</v>
      </c>
      <c r="D61" s="12">
        <v>0</v>
      </c>
      <c r="E61" s="9" t="s">
        <v>253</v>
      </c>
      <c r="F61" s="9" t="s">
        <v>253</v>
      </c>
      <c r="G61" s="9" t="s">
        <v>264</v>
      </c>
    </row>
    <row r="62" spans="1:7" x14ac:dyDescent="0.2">
      <c r="A62" s="9" t="s">
        <v>203</v>
      </c>
      <c r="B62" s="9" t="s">
        <v>203</v>
      </c>
      <c r="C62" s="9" t="s">
        <v>203</v>
      </c>
      <c r="D62" s="12">
        <v>0</v>
      </c>
      <c r="E62" s="9" t="s">
        <v>253</v>
      </c>
      <c r="F62" s="9" t="s">
        <v>253</v>
      </c>
      <c r="G62" s="9" t="s">
        <v>264</v>
      </c>
    </row>
    <row r="63" spans="1:7" x14ac:dyDescent="0.2">
      <c r="A63" s="9" t="s">
        <v>215</v>
      </c>
      <c r="B63" s="9" t="s">
        <v>215</v>
      </c>
      <c r="C63" s="9" t="s">
        <v>215</v>
      </c>
      <c r="D63" s="12">
        <v>0</v>
      </c>
      <c r="E63" s="9" t="s">
        <v>253</v>
      </c>
      <c r="F63" s="9" t="s">
        <v>253</v>
      </c>
      <c r="G63" s="9" t="s">
        <v>264</v>
      </c>
    </row>
    <row r="64" spans="1:7" x14ac:dyDescent="0.2">
      <c r="A64" s="9" t="s">
        <v>239</v>
      </c>
      <c r="B64" s="9" t="s">
        <v>239</v>
      </c>
      <c r="C64" s="9" t="s">
        <v>239</v>
      </c>
      <c r="D64" s="12">
        <v>0</v>
      </c>
      <c r="E64" s="9" t="s">
        <v>253</v>
      </c>
      <c r="F64" s="9" t="s">
        <v>253</v>
      </c>
      <c r="G64" s="9" t="s">
        <v>264</v>
      </c>
    </row>
    <row r="65" spans="1:7" x14ac:dyDescent="0.2">
      <c r="A65" s="9" t="s">
        <v>116</v>
      </c>
      <c r="B65" s="9" t="s">
        <v>116</v>
      </c>
      <c r="C65" s="9" t="s">
        <v>116</v>
      </c>
      <c r="D65" s="12">
        <v>0</v>
      </c>
      <c r="E65" s="9" t="s">
        <v>254</v>
      </c>
      <c r="F65" s="9" t="s">
        <v>254</v>
      </c>
      <c r="G65" s="9" t="s">
        <v>265</v>
      </c>
    </row>
    <row r="66" spans="1:7" x14ac:dyDescent="0.2">
      <c r="A66" s="9" t="s">
        <v>118</v>
      </c>
      <c r="B66" s="9" t="s">
        <v>118</v>
      </c>
      <c r="C66" s="9" t="s">
        <v>118</v>
      </c>
      <c r="D66" s="12">
        <v>0</v>
      </c>
      <c r="E66" s="9" t="s">
        <v>254</v>
      </c>
      <c r="F66" s="9" t="s">
        <v>254</v>
      </c>
      <c r="G66" s="9" t="s">
        <v>265</v>
      </c>
    </row>
    <row r="67" spans="1:7" x14ac:dyDescent="0.2">
      <c r="A67" s="9" t="s">
        <v>119</v>
      </c>
      <c r="B67" s="9" t="s">
        <v>119</v>
      </c>
      <c r="C67" s="9" t="s">
        <v>119</v>
      </c>
      <c r="D67" s="12">
        <v>0</v>
      </c>
      <c r="E67" s="9" t="s">
        <v>254</v>
      </c>
      <c r="F67" s="9" t="s">
        <v>254</v>
      </c>
      <c r="G67" s="9" t="s">
        <v>265</v>
      </c>
    </row>
    <row r="68" spans="1:7" x14ac:dyDescent="0.2">
      <c r="A68" s="9" t="s">
        <v>120</v>
      </c>
      <c r="B68" s="9" t="s">
        <v>120</v>
      </c>
      <c r="C68" s="9" t="s">
        <v>120</v>
      </c>
      <c r="D68" s="12">
        <v>0</v>
      </c>
      <c r="E68" s="9" t="s">
        <v>254</v>
      </c>
      <c r="F68" s="9" t="s">
        <v>254</v>
      </c>
      <c r="G68" s="9" t="s">
        <v>265</v>
      </c>
    </row>
    <row r="69" spans="1:7" x14ac:dyDescent="0.2">
      <c r="A69" s="9" t="s">
        <v>121</v>
      </c>
      <c r="B69" s="9" t="s">
        <v>121</v>
      </c>
      <c r="C69" s="9" t="s">
        <v>121</v>
      </c>
      <c r="D69" s="12">
        <v>0</v>
      </c>
      <c r="E69" s="9" t="s">
        <v>254</v>
      </c>
      <c r="F69" s="9" t="s">
        <v>254</v>
      </c>
      <c r="G69" s="9" t="s">
        <v>265</v>
      </c>
    </row>
    <row r="70" spans="1:7" x14ac:dyDescent="0.2">
      <c r="A70" s="9" t="s">
        <v>122</v>
      </c>
      <c r="B70" s="9" t="s">
        <v>122</v>
      </c>
      <c r="C70" s="9" t="s">
        <v>122</v>
      </c>
      <c r="D70" s="12">
        <v>0</v>
      </c>
      <c r="E70" s="9" t="s">
        <v>254</v>
      </c>
      <c r="F70" s="9" t="s">
        <v>254</v>
      </c>
      <c r="G70" s="9" t="s">
        <v>265</v>
      </c>
    </row>
    <row r="71" spans="1:7" x14ac:dyDescent="0.2">
      <c r="A71" s="9" t="s">
        <v>123</v>
      </c>
      <c r="B71" s="9" t="s">
        <v>123</v>
      </c>
      <c r="C71" s="9" t="s">
        <v>123</v>
      </c>
      <c r="D71" s="12">
        <v>0</v>
      </c>
      <c r="E71" s="9" t="s">
        <v>254</v>
      </c>
      <c r="F71" s="9" t="s">
        <v>254</v>
      </c>
      <c r="G71" s="9" t="s">
        <v>265</v>
      </c>
    </row>
    <row r="72" spans="1:7" x14ac:dyDescent="0.2">
      <c r="A72" s="9" t="s">
        <v>126</v>
      </c>
      <c r="B72" s="9" t="s">
        <v>126</v>
      </c>
      <c r="C72" s="9" t="s">
        <v>126</v>
      </c>
      <c r="D72" s="12">
        <v>0</v>
      </c>
      <c r="E72" s="9" t="s">
        <v>254</v>
      </c>
      <c r="F72" s="9" t="s">
        <v>254</v>
      </c>
      <c r="G72" s="9" t="s">
        <v>265</v>
      </c>
    </row>
    <row r="73" spans="1:7" x14ac:dyDescent="0.2">
      <c r="A73" s="84" t="s">
        <v>127</v>
      </c>
      <c r="B73" s="84" t="s">
        <v>127</v>
      </c>
      <c r="C73" s="84" t="s">
        <v>127</v>
      </c>
      <c r="D73" s="12">
        <v>0</v>
      </c>
      <c r="E73" s="9" t="s">
        <v>254</v>
      </c>
      <c r="F73" s="9" t="s">
        <v>254</v>
      </c>
      <c r="G73" s="9" t="s">
        <v>265</v>
      </c>
    </row>
    <row r="74" spans="1:7" x14ac:dyDescent="0.2">
      <c r="A74" s="9" t="s">
        <v>129</v>
      </c>
      <c r="B74" s="9" t="s">
        <v>129</v>
      </c>
      <c r="C74" s="9" t="s">
        <v>129</v>
      </c>
      <c r="D74" s="12">
        <v>0</v>
      </c>
      <c r="E74" s="9" t="s">
        <v>254</v>
      </c>
      <c r="F74" s="9" t="s">
        <v>254</v>
      </c>
      <c r="G74" s="9" t="s">
        <v>265</v>
      </c>
    </row>
    <row r="75" spans="1:7" x14ac:dyDescent="0.2">
      <c r="A75" s="9" t="s">
        <v>135</v>
      </c>
      <c r="B75" s="9" t="s">
        <v>135</v>
      </c>
      <c r="C75" s="9" t="s">
        <v>135</v>
      </c>
      <c r="D75" s="12">
        <v>0</v>
      </c>
      <c r="E75" s="9" t="s">
        <v>254</v>
      </c>
      <c r="F75" s="9" t="s">
        <v>254</v>
      </c>
      <c r="G75" s="9" t="s">
        <v>265</v>
      </c>
    </row>
    <row r="76" spans="1:7" x14ac:dyDescent="0.2">
      <c r="A76" s="9" t="s">
        <v>136</v>
      </c>
      <c r="B76" s="9" t="s">
        <v>136</v>
      </c>
      <c r="C76" s="9" t="s">
        <v>136</v>
      </c>
      <c r="D76" s="12">
        <v>0</v>
      </c>
      <c r="E76" s="9" t="s">
        <v>254</v>
      </c>
      <c r="F76" s="9" t="s">
        <v>254</v>
      </c>
      <c r="G76" s="9" t="s">
        <v>265</v>
      </c>
    </row>
    <row r="77" spans="1:7" x14ac:dyDescent="0.2">
      <c r="A77" s="9" t="s">
        <v>138</v>
      </c>
      <c r="B77" s="9" t="s">
        <v>138</v>
      </c>
      <c r="C77" s="9" t="s">
        <v>138</v>
      </c>
      <c r="D77" s="12">
        <v>0</v>
      </c>
      <c r="E77" s="9" t="s">
        <v>254</v>
      </c>
      <c r="F77" s="9" t="s">
        <v>254</v>
      </c>
      <c r="G77" s="9" t="s">
        <v>265</v>
      </c>
    </row>
    <row r="78" spans="1:7" x14ac:dyDescent="0.2">
      <c r="A78" s="9" t="s">
        <v>148</v>
      </c>
      <c r="B78" s="9" t="s">
        <v>148</v>
      </c>
      <c r="C78" s="9" t="s">
        <v>148</v>
      </c>
      <c r="D78" s="12">
        <v>0</v>
      </c>
      <c r="E78" s="9" t="s">
        <v>254</v>
      </c>
      <c r="F78" s="9" t="s">
        <v>254</v>
      </c>
      <c r="G78" s="9" t="s">
        <v>265</v>
      </c>
    </row>
    <row r="79" spans="1:7" x14ac:dyDescent="0.2">
      <c r="A79" s="9" t="s">
        <v>152</v>
      </c>
      <c r="B79" s="9" t="s">
        <v>152</v>
      </c>
      <c r="C79" s="9" t="s">
        <v>152</v>
      </c>
      <c r="D79" s="12">
        <v>0</v>
      </c>
      <c r="E79" s="9" t="s">
        <v>254</v>
      </c>
      <c r="F79" s="9" t="s">
        <v>254</v>
      </c>
      <c r="G79" s="9" t="s">
        <v>265</v>
      </c>
    </row>
    <row r="80" spans="1:7" x14ac:dyDescent="0.2">
      <c r="A80" s="9" t="s">
        <v>155</v>
      </c>
      <c r="B80" s="9" t="s">
        <v>155</v>
      </c>
      <c r="C80" s="9" t="s">
        <v>155</v>
      </c>
      <c r="D80" s="12">
        <v>0</v>
      </c>
      <c r="E80" s="9" t="s">
        <v>254</v>
      </c>
      <c r="F80" s="9" t="s">
        <v>254</v>
      </c>
      <c r="G80" s="9" t="s">
        <v>265</v>
      </c>
    </row>
    <row r="81" spans="1:7" x14ac:dyDescent="0.2">
      <c r="A81" s="9" t="s">
        <v>157</v>
      </c>
      <c r="B81" s="9" t="s">
        <v>157</v>
      </c>
      <c r="C81" s="9" t="s">
        <v>157</v>
      </c>
      <c r="D81" s="12">
        <v>0</v>
      </c>
      <c r="E81" s="9" t="s">
        <v>254</v>
      </c>
      <c r="F81" s="9" t="s">
        <v>254</v>
      </c>
      <c r="G81" s="9" t="s">
        <v>265</v>
      </c>
    </row>
    <row r="82" spans="1:7" x14ac:dyDescent="0.2">
      <c r="A82" s="9" t="s">
        <v>158</v>
      </c>
      <c r="B82" s="9" t="s">
        <v>158</v>
      </c>
      <c r="C82" s="9" t="s">
        <v>158</v>
      </c>
      <c r="D82" s="12">
        <v>0</v>
      </c>
      <c r="E82" s="9" t="s">
        <v>254</v>
      </c>
      <c r="F82" s="9" t="s">
        <v>254</v>
      </c>
      <c r="G82" s="9" t="s">
        <v>265</v>
      </c>
    </row>
    <row r="83" spans="1:7" x14ac:dyDescent="0.2">
      <c r="A83" s="9" t="s">
        <v>159</v>
      </c>
      <c r="B83" s="9" t="s">
        <v>159</v>
      </c>
      <c r="C83" s="9" t="s">
        <v>159</v>
      </c>
      <c r="D83" s="12">
        <v>0</v>
      </c>
      <c r="E83" s="9" t="s">
        <v>254</v>
      </c>
      <c r="F83" s="9" t="s">
        <v>254</v>
      </c>
      <c r="G83" s="9" t="s">
        <v>265</v>
      </c>
    </row>
    <row r="84" spans="1:7" x14ac:dyDescent="0.2">
      <c r="A84" s="9" t="s">
        <v>161</v>
      </c>
      <c r="B84" s="9" t="s">
        <v>161</v>
      </c>
      <c r="C84" s="9" t="s">
        <v>161</v>
      </c>
      <c r="D84" s="12">
        <v>0</v>
      </c>
      <c r="E84" s="9" t="s">
        <v>254</v>
      </c>
      <c r="F84" s="9" t="s">
        <v>254</v>
      </c>
      <c r="G84" s="9" t="s">
        <v>265</v>
      </c>
    </row>
    <row r="85" spans="1:7" x14ac:dyDescent="0.2">
      <c r="A85" s="9" t="s">
        <v>164</v>
      </c>
      <c r="B85" s="9" t="s">
        <v>164</v>
      </c>
      <c r="C85" s="9" t="s">
        <v>164</v>
      </c>
      <c r="D85" s="12">
        <v>0</v>
      </c>
      <c r="E85" s="9" t="s">
        <v>254</v>
      </c>
      <c r="F85" s="9" t="s">
        <v>254</v>
      </c>
      <c r="G85" s="9" t="s">
        <v>265</v>
      </c>
    </row>
    <row r="86" spans="1:7" x14ac:dyDescent="0.2">
      <c r="A86" s="9" t="s">
        <v>167</v>
      </c>
      <c r="B86" s="9" t="s">
        <v>167</v>
      </c>
      <c r="C86" s="9" t="s">
        <v>167</v>
      </c>
      <c r="D86" s="12">
        <v>0</v>
      </c>
      <c r="E86" s="9" t="s">
        <v>254</v>
      </c>
      <c r="F86" s="9" t="s">
        <v>254</v>
      </c>
      <c r="G86" s="9" t="s">
        <v>265</v>
      </c>
    </row>
    <row r="87" spans="1:7" x14ac:dyDescent="0.2">
      <c r="A87" s="84" t="s">
        <v>168</v>
      </c>
      <c r="B87" s="84" t="s">
        <v>168</v>
      </c>
      <c r="C87" s="84" t="s">
        <v>168</v>
      </c>
      <c r="D87" s="12">
        <v>0</v>
      </c>
      <c r="E87" s="9" t="s">
        <v>254</v>
      </c>
      <c r="F87" s="9" t="s">
        <v>254</v>
      </c>
      <c r="G87" s="9" t="s">
        <v>265</v>
      </c>
    </row>
    <row r="88" spans="1:7" x14ac:dyDescent="0.2">
      <c r="A88" s="9" t="s">
        <v>174</v>
      </c>
      <c r="B88" s="9" t="s">
        <v>174</v>
      </c>
      <c r="C88" s="9" t="s">
        <v>174</v>
      </c>
      <c r="D88" s="12">
        <v>0</v>
      </c>
      <c r="E88" s="9" t="s">
        <v>254</v>
      </c>
      <c r="F88" s="9" t="s">
        <v>254</v>
      </c>
      <c r="G88" s="9" t="s">
        <v>265</v>
      </c>
    </row>
    <row r="89" spans="1:7" x14ac:dyDescent="0.2">
      <c r="A89" s="9" t="s">
        <v>179</v>
      </c>
      <c r="B89" s="9" t="s">
        <v>179</v>
      </c>
      <c r="C89" s="9" t="s">
        <v>179</v>
      </c>
      <c r="D89" s="12">
        <v>0</v>
      </c>
      <c r="E89" s="9" t="s">
        <v>254</v>
      </c>
      <c r="F89" s="9" t="s">
        <v>254</v>
      </c>
      <c r="G89" s="9" t="s">
        <v>265</v>
      </c>
    </row>
    <row r="90" spans="1:7" x14ac:dyDescent="0.2">
      <c r="A90" s="9" t="s">
        <v>184</v>
      </c>
      <c r="B90" s="9" t="s">
        <v>184</v>
      </c>
      <c r="C90" s="9" t="s">
        <v>184</v>
      </c>
      <c r="D90" s="12">
        <v>0</v>
      </c>
      <c r="E90" s="9" t="s">
        <v>254</v>
      </c>
      <c r="F90" s="9" t="s">
        <v>254</v>
      </c>
      <c r="G90" s="9" t="s">
        <v>265</v>
      </c>
    </row>
    <row r="91" spans="1:7" x14ac:dyDescent="0.2">
      <c r="A91" s="9" t="s">
        <v>195</v>
      </c>
      <c r="B91" s="9" t="s">
        <v>195</v>
      </c>
      <c r="C91" s="9" t="s">
        <v>195</v>
      </c>
      <c r="D91" s="12">
        <v>0</v>
      </c>
      <c r="E91" s="9" t="s">
        <v>254</v>
      </c>
      <c r="F91" s="9" t="s">
        <v>254</v>
      </c>
      <c r="G91" s="9" t="s">
        <v>265</v>
      </c>
    </row>
    <row r="92" spans="1:7" x14ac:dyDescent="0.2">
      <c r="A92" s="9" t="s">
        <v>205</v>
      </c>
      <c r="B92" s="9" t="s">
        <v>205</v>
      </c>
      <c r="C92" s="9" t="s">
        <v>205</v>
      </c>
      <c r="D92" s="12">
        <v>0</v>
      </c>
      <c r="E92" s="9" t="s">
        <v>254</v>
      </c>
      <c r="F92" s="9" t="s">
        <v>254</v>
      </c>
      <c r="G92" s="9" t="s">
        <v>265</v>
      </c>
    </row>
    <row r="93" spans="1:7" x14ac:dyDescent="0.2">
      <c r="A93" s="9" t="s">
        <v>207</v>
      </c>
      <c r="B93" s="9" t="s">
        <v>207</v>
      </c>
      <c r="C93" s="9" t="s">
        <v>207</v>
      </c>
      <c r="D93" s="12">
        <v>0</v>
      </c>
      <c r="E93" s="9" t="s">
        <v>254</v>
      </c>
      <c r="F93" s="9" t="s">
        <v>254</v>
      </c>
      <c r="G93" s="9" t="s">
        <v>265</v>
      </c>
    </row>
    <row r="94" spans="1:7" x14ac:dyDescent="0.2">
      <c r="A94" s="9" t="s">
        <v>209</v>
      </c>
      <c r="B94" s="9" t="s">
        <v>209</v>
      </c>
      <c r="C94" s="9" t="s">
        <v>209</v>
      </c>
      <c r="D94" s="12">
        <v>0</v>
      </c>
      <c r="E94" s="9" t="s">
        <v>254</v>
      </c>
      <c r="F94" s="9" t="s">
        <v>254</v>
      </c>
      <c r="G94" s="9" t="s">
        <v>265</v>
      </c>
    </row>
    <row r="95" spans="1:7" x14ac:dyDescent="0.2">
      <c r="A95" s="9" t="s">
        <v>212</v>
      </c>
      <c r="B95" s="9" t="s">
        <v>212</v>
      </c>
      <c r="C95" s="9" t="s">
        <v>212</v>
      </c>
      <c r="D95" s="12">
        <v>0</v>
      </c>
      <c r="E95" s="9" t="s">
        <v>254</v>
      </c>
      <c r="F95" s="9" t="s">
        <v>254</v>
      </c>
      <c r="G95" s="9" t="s">
        <v>265</v>
      </c>
    </row>
    <row r="96" spans="1:7" x14ac:dyDescent="0.2">
      <c r="A96" s="9" t="s">
        <v>216</v>
      </c>
      <c r="B96" s="9" t="s">
        <v>216</v>
      </c>
      <c r="C96" s="9" t="s">
        <v>216</v>
      </c>
      <c r="D96" s="12">
        <v>0</v>
      </c>
      <c r="E96" s="9" t="s">
        <v>254</v>
      </c>
      <c r="F96" s="9" t="s">
        <v>254</v>
      </c>
      <c r="G96" s="9" t="s">
        <v>265</v>
      </c>
    </row>
    <row r="97" spans="1:7" x14ac:dyDescent="0.2">
      <c r="A97" s="9" t="s">
        <v>218</v>
      </c>
      <c r="B97" s="9" t="s">
        <v>218</v>
      </c>
      <c r="C97" s="9" t="s">
        <v>218</v>
      </c>
      <c r="D97" s="12">
        <v>0</v>
      </c>
      <c r="E97" s="9" t="s">
        <v>254</v>
      </c>
      <c r="F97" s="9" t="s">
        <v>254</v>
      </c>
      <c r="G97" s="9" t="s">
        <v>265</v>
      </c>
    </row>
    <row r="98" spans="1:7" x14ac:dyDescent="0.2">
      <c r="A98" s="9" t="s">
        <v>223</v>
      </c>
      <c r="B98" s="9" t="s">
        <v>223</v>
      </c>
      <c r="C98" s="9" t="s">
        <v>223</v>
      </c>
      <c r="D98" s="12">
        <v>0</v>
      </c>
      <c r="E98" s="9" t="s">
        <v>254</v>
      </c>
      <c r="F98" s="9" t="s">
        <v>254</v>
      </c>
      <c r="G98" s="9" t="s">
        <v>265</v>
      </c>
    </row>
    <row r="99" spans="1:7" x14ac:dyDescent="0.2">
      <c r="A99" s="9" t="s">
        <v>225</v>
      </c>
      <c r="B99" s="9" t="s">
        <v>225</v>
      </c>
      <c r="C99" s="9" t="s">
        <v>225</v>
      </c>
      <c r="D99" s="12">
        <v>0</v>
      </c>
      <c r="E99" s="9" t="s">
        <v>254</v>
      </c>
      <c r="F99" s="9" t="s">
        <v>254</v>
      </c>
      <c r="G99" s="9" t="s">
        <v>265</v>
      </c>
    </row>
    <row r="100" spans="1:7" x14ac:dyDescent="0.2">
      <c r="A100" s="9" t="s">
        <v>226</v>
      </c>
      <c r="B100" s="9" t="s">
        <v>226</v>
      </c>
      <c r="C100" s="9" t="s">
        <v>226</v>
      </c>
      <c r="D100" s="12">
        <v>0</v>
      </c>
      <c r="E100" s="9" t="s">
        <v>254</v>
      </c>
      <c r="F100" s="9" t="s">
        <v>254</v>
      </c>
      <c r="G100" s="9" t="s">
        <v>265</v>
      </c>
    </row>
    <row r="101" spans="1:7" x14ac:dyDescent="0.2">
      <c r="A101" s="9" t="s">
        <v>227</v>
      </c>
      <c r="B101" s="9" t="s">
        <v>227</v>
      </c>
      <c r="C101" s="9" t="s">
        <v>227</v>
      </c>
      <c r="D101" s="12">
        <v>0</v>
      </c>
      <c r="E101" s="9" t="s">
        <v>254</v>
      </c>
      <c r="F101" s="9" t="s">
        <v>254</v>
      </c>
      <c r="G101" s="9" t="s">
        <v>265</v>
      </c>
    </row>
    <row r="102" spans="1:7" x14ac:dyDescent="0.2">
      <c r="A102" s="9" t="s">
        <v>228</v>
      </c>
      <c r="B102" s="9" t="s">
        <v>228</v>
      </c>
      <c r="C102" s="9" t="s">
        <v>228</v>
      </c>
      <c r="D102" s="12">
        <v>0</v>
      </c>
      <c r="E102" s="9" t="s">
        <v>254</v>
      </c>
      <c r="F102" s="9" t="s">
        <v>254</v>
      </c>
      <c r="G102" s="9" t="s">
        <v>265</v>
      </c>
    </row>
    <row r="103" spans="1:7" x14ac:dyDescent="0.2">
      <c r="A103" s="9" t="s">
        <v>231</v>
      </c>
      <c r="B103" s="9" t="s">
        <v>231</v>
      </c>
      <c r="C103" s="9" t="s">
        <v>231</v>
      </c>
      <c r="D103" s="12">
        <v>0</v>
      </c>
      <c r="E103" s="9" t="s">
        <v>254</v>
      </c>
      <c r="F103" s="9" t="s">
        <v>254</v>
      </c>
      <c r="G103" s="9" t="s">
        <v>265</v>
      </c>
    </row>
    <row r="104" spans="1:7" x14ac:dyDescent="0.2">
      <c r="A104" s="9" t="s">
        <v>238</v>
      </c>
      <c r="B104" s="9" t="s">
        <v>238</v>
      </c>
      <c r="C104" s="9" t="s">
        <v>238</v>
      </c>
      <c r="D104" s="12">
        <v>0</v>
      </c>
      <c r="E104" s="9" t="s">
        <v>254</v>
      </c>
      <c r="F104" s="9" t="s">
        <v>254</v>
      </c>
      <c r="G104" s="9" t="s">
        <v>265</v>
      </c>
    </row>
    <row r="105" spans="1:7" x14ac:dyDescent="0.2">
      <c r="A105" s="9" t="s">
        <v>150</v>
      </c>
      <c r="B105" s="9" t="s">
        <v>150</v>
      </c>
      <c r="C105" s="9" t="s">
        <v>150</v>
      </c>
      <c r="D105" s="12">
        <v>0</v>
      </c>
      <c r="E105" s="9" t="s">
        <v>255</v>
      </c>
      <c r="F105" s="9" t="s">
        <v>255</v>
      </c>
      <c r="G105" s="9" t="s">
        <v>266</v>
      </c>
    </row>
    <row r="106" spans="1:7" x14ac:dyDescent="0.2">
      <c r="A106" s="9" t="s">
        <v>154</v>
      </c>
      <c r="B106" s="9" t="s">
        <v>154</v>
      </c>
      <c r="C106" s="9" t="s">
        <v>154</v>
      </c>
      <c r="D106" s="12">
        <v>0</v>
      </c>
      <c r="E106" s="9" t="s">
        <v>255</v>
      </c>
      <c r="F106" s="9" t="s">
        <v>255</v>
      </c>
      <c r="G106" s="9" t="s">
        <v>266</v>
      </c>
    </row>
    <row r="107" spans="1:7" x14ac:dyDescent="0.2">
      <c r="A107" s="9" t="s">
        <v>181</v>
      </c>
      <c r="B107" s="9" t="s">
        <v>181</v>
      </c>
      <c r="C107" s="9" t="s">
        <v>181</v>
      </c>
      <c r="D107" s="12">
        <v>0</v>
      </c>
      <c r="E107" s="9" t="s">
        <v>255</v>
      </c>
      <c r="F107" s="9" t="s">
        <v>255</v>
      </c>
      <c r="G107" s="9" t="s">
        <v>266</v>
      </c>
    </row>
    <row r="108" spans="1:7" x14ac:dyDescent="0.2">
      <c r="A108" s="9" t="s">
        <v>187</v>
      </c>
      <c r="B108" s="9" t="s">
        <v>187</v>
      </c>
      <c r="C108" s="9" t="s">
        <v>187</v>
      </c>
      <c r="D108" s="12">
        <v>0</v>
      </c>
      <c r="E108" s="9" t="s">
        <v>255</v>
      </c>
      <c r="F108" s="9" t="s">
        <v>255</v>
      </c>
      <c r="G108" s="9" t="s">
        <v>266</v>
      </c>
    </row>
    <row r="109" spans="1:7" x14ac:dyDescent="0.2">
      <c r="A109" s="84" t="s">
        <v>194</v>
      </c>
      <c r="B109" s="84" t="s">
        <v>194</v>
      </c>
      <c r="C109" s="84" t="s">
        <v>194</v>
      </c>
      <c r="D109" s="12">
        <v>0</v>
      </c>
      <c r="E109" s="9" t="s">
        <v>255</v>
      </c>
      <c r="F109" s="9" t="s">
        <v>255</v>
      </c>
      <c r="G109" s="9" t="s">
        <v>266</v>
      </c>
    </row>
    <row r="110" spans="1:7" x14ac:dyDescent="0.2">
      <c r="A110" s="9" t="s">
        <v>229</v>
      </c>
      <c r="B110" s="9" t="s">
        <v>229</v>
      </c>
      <c r="C110" s="9" t="s">
        <v>229</v>
      </c>
      <c r="D110" s="12">
        <v>0</v>
      </c>
      <c r="E110" s="9" t="s">
        <v>255</v>
      </c>
      <c r="F110" s="9" t="s">
        <v>255</v>
      </c>
      <c r="G110" s="9" t="s">
        <v>266</v>
      </c>
    </row>
    <row r="111" spans="1:7" x14ac:dyDescent="0.2">
      <c r="A111" s="9" t="s">
        <v>230</v>
      </c>
      <c r="B111" s="9" t="s">
        <v>230</v>
      </c>
      <c r="C111" s="9" t="s">
        <v>230</v>
      </c>
      <c r="D111" s="12">
        <v>0</v>
      </c>
      <c r="E111" s="9" t="s">
        <v>255</v>
      </c>
      <c r="F111" s="9" t="s">
        <v>255</v>
      </c>
      <c r="G111" s="9" t="s">
        <v>266</v>
      </c>
    </row>
    <row r="112" spans="1:7" x14ac:dyDescent="0.2">
      <c r="A112" s="9" t="s">
        <v>147</v>
      </c>
      <c r="B112" s="9" t="s">
        <v>147</v>
      </c>
      <c r="C112" s="9" t="s">
        <v>147</v>
      </c>
      <c r="D112" s="12">
        <v>0</v>
      </c>
      <c r="E112" s="9" t="s">
        <v>256</v>
      </c>
      <c r="F112" s="9" t="s">
        <v>256</v>
      </c>
      <c r="G112" s="9" t="s">
        <v>267</v>
      </c>
    </row>
    <row r="113" spans="1:7" x14ac:dyDescent="0.2">
      <c r="A113" s="9" t="s">
        <v>183</v>
      </c>
      <c r="B113" s="9" t="s">
        <v>183</v>
      </c>
      <c r="C113" s="9" t="s">
        <v>183</v>
      </c>
      <c r="D113" s="12">
        <v>0</v>
      </c>
      <c r="E113" s="9" t="s">
        <v>256</v>
      </c>
      <c r="F113" s="9" t="s">
        <v>256</v>
      </c>
      <c r="G113" s="9" t="s">
        <v>267</v>
      </c>
    </row>
    <row r="114" spans="1:7" x14ac:dyDescent="0.2">
      <c r="A114" s="9" t="s">
        <v>115</v>
      </c>
      <c r="B114" s="9" t="s">
        <v>115</v>
      </c>
      <c r="C114" s="9" t="s">
        <v>115</v>
      </c>
      <c r="D114" s="12">
        <v>0</v>
      </c>
      <c r="E114" s="9" t="s">
        <v>257</v>
      </c>
      <c r="F114" s="9" t="s">
        <v>257</v>
      </c>
      <c r="G114" s="9" t="s">
        <v>268</v>
      </c>
    </row>
    <row r="115" spans="1:7" x14ac:dyDescent="0.2">
      <c r="A115" s="9" t="s">
        <v>125</v>
      </c>
      <c r="B115" s="9" t="s">
        <v>125</v>
      </c>
      <c r="C115" s="9" t="s">
        <v>125</v>
      </c>
      <c r="D115" s="12">
        <v>0</v>
      </c>
      <c r="E115" s="9" t="s">
        <v>257</v>
      </c>
      <c r="F115" s="9" t="s">
        <v>257</v>
      </c>
      <c r="G115" s="9" t="s">
        <v>268</v>
      </c>
    </row>
    <row r="116" spans="1:7" x14ac:dyDescent="0.2">
      <c r="A116" s="9" t="s">
        <v>128</v>
      </c>
      <c r="B116" s="9" t="s">
        <v>128</v>
      </c>
      <c r="C116" s="9" t="s">
        <v>128</v>
      </c>
      <c r="D116" s="12">
        <v>0</v>
      </c>
      <c r="E116" s="9" t="s">
        <v>257</v>
      </c>
      <c r="F116" s="9" t="s">
        <v>257</v>
      </c>
      <c r="G116" s="9" t="s">
        <v>268</v>
      </c>
    </row>
    <row r="117" spans="1:7" x14ac:dyDescent="0.2">
      <c r="A117" s="9" t="s">
        <v>131</v>
      </c>
      <c r="B117" s="9" t="s">
        <v>131</v>
      </c>
      <c r="C117" s="9" t="s">
        <v>131</v>
      </c>
      <c r="D117" s="12">
        <v>0</v>
      </c>
      <c r="E117" s="9" t="s">
        <v>257</v>
      </c>
      <c r="F117" s="9" t="s">
        <v>257</v>
      </c>
      <c r="G117" s="9" t="s">
        <v>268</v>
      </c>
    </row>
    <row r="118" spans="1:7" x14ac:dyDescent="0.2">
      <c r="A118" s="9" t="s">
        <v>141</v>
      </c>
      <c r="B118" s="9" t="s">
        <v>141</v>
      </c>
      <c r="C118" s="9" t="s">
        <v>141</v>
      </c>
      <c r="D118" s="12">
        <v>0</v>
      </c>
      <c r="E118" s="9" t="s">
        <v>257</v>
      </c>
      <c r="F118" s="9" t="s">
        <v>257</v>
      </c>
      <c r="G118" s="9" t="s">
        <v>268</v>
      </c>
    </row>
    <row r="119" spans="1:7" x14ac:dyDescent="0.2">
      <c r="A119" s="9" t="s">
        <v>145</v>
      </c>
      <c r="B119" s="9" t="s">
        <v>145</v>
      </c>
      <c r="C119" s="9" t="s">
        <v>145</v>
      </c>
      <c r="D119" s="12">
        <v>0</v>
      </c>
      <c r="E119" s="9" t="s">
        <v>257</v>
      </c>
      <c r="F119" s="9" t="s">
        <v>257</v>
      </c>
      <c r="G119" s="9" t="s">
        <v>268</v>
      </c>
    </row>
    <row r="120" spans="1:7" x14ac:dyDescent="0.2">
      <c r="A120" s="9" t="s">
        <v>156</v>
      </c>
      <c r="B120" s="9" t="s">
        <v>156</v>
      </c>
      <c r="C120" s="9" t="s">
        <v>156</v>
      </c>
      <c r="D120" s="12">
        <v>0</v>
      </c>
      <c r="E120" s="9" t="s">
        <v>257</v>
      </c>
      <c r="F120" s="9" t="s">
        <v>257</v>
      </c>
      <c r="G120" s="9" t="s">
        <v>268</v>
      </c>
    </row>
    <row r="121" spans="1:7" x14ac:dyDescent="0.2">
      <c r="A121" s="9" t="s">
        <v>162</v>
      </c>
      <c r="B121" s="9" t="s">
        <v>162</v>
      </c>
      <c r="C121" s="9" t="s">
        <v>162</v>
      </c>
      <c r="D121" s="12">
        <v>0</v>
      </c>
      <c r="E121" s="9" t="s">
        <v>257</v>
      </c>
      <c r="F121" s="9" t="s">
        <v>257</v>
      </c>
      <c r="G121" s="9" t="s">
        <v>268</v>
      </c>
    </row>
    <row r="122" spans="1:7" x14ac:dyDescent="0.2">
      <c r="A122" s="9" t="s">
        <v>166</v>
      </c>
      <c r="B122" s="9" t="s">
        <v>166</v>
      </c>
      <c r="C122" s="9" t="s">
        <v>166</v>
      </c>
      <c r="D122" s="12">
        <v>0</v>
      </c>
      <c r="E122" s="9" t="s">
        <v>257</v>
      </c>
      <c r="F122" s="9" t="s">
        <v>257</v>
      </c>
      <c r="G122" s="9" t="s">
        <v>268</v>
      </c>
    </row>
    <row r="123" spans="1:7" x14ac:dyDescent="0.2">
      <c r="A123" s="9" t="s">
        <v>173</v>
      </c>
      <c r="B123" s="9" t="s">
        <v>173</v>
      </c>
      <c r="C123" s="9" t="s">
        <v>173</v>
      </c>
      <c r="D123" s="12">
        <v>0</v>
      </c>
      <c r="E123" s="9" t="s">
        <v>257</v>
      </c>
      <c r="F123" s="9" t="s">
        <v>257</v>
      </c>
      <c r="G123" s="9" t="s">
        <v>268</v>
      </c>
    </row>
    <row r="124" spans="1:7" x14ac:dyDescent="0.2">
      <c r="A124" s="9" t="s">
        <v>196</v>
      </c>
      <c r="B124" s="9" t="s">
        <v>196</v>
      </c>
      <c r="C124" s="9" t="s">
        <v>196</v>
      </c>
      <c r="D124" s="12">
        <v>0</v>
      </c>
      <c r="E124" s="9" t="s">
        <v>257</v>
      </c>
      <c r="F124" s="9" t="s">
        <v>257</v>
      </c>
      <c r="G124" s="9" t="s">
        <v>268</v>
      </c>
    </row>
    <row r="125" spans="1:7" x14ac:dyDescent="0.2">
      <c r="A125" s="9" t="s">
        <v>198</v>
      </c>
      <c r="B125" s="9" t="s">
        <v>198</v>
      </c>
      <c r="C125" s="9" t="s">
        <v>198</v>
      </c>
      <c r="D125" s="12">
        <v>0</v>
      </c>
      <c r="E125" s="9" t="s">
        <v>257</v>
      </c>
      <c r="F125" s="9" t="s">
        <v>257</v>
      </c>
      <c r="G125" s="9" t="s">
        <v>268</v>
      </c>
    </row>
    <row r="126" spans="1:7" x14ac:dyDescent="0.2">
      <c r="A126" s="9" t="s">
        <v>201</v>
      </c>
      <c r="B126" s="9" t="s">
        <v>201</v>
      </c>
      <c r="C126" s="9" t="s">
        <v>201</v>
      </c>
      <c r="D126" s="12">
        <v>0</v>
      </c>
      <c r="E126" s="9" t="s">
        <v>257</v>
      </c>
      <c r="F126" s="9" t="s">
        <v>257</v>
      </c>
      <c r="G126" s="9" t="s">
        <v>268</v>
      </c>
    </row>
    <row r="127" spans="1:7" x14ac:dyDescent="0.2">
      <c r="A127" s="9" t="s">
        <v>210</v>
      </c>
      <c r="B127" s="9" t="s">
        <v>210</v>
      </c>
      <c r="C127" s="9" t="s">
        <v>210</v>
      </c>
      <c r="D127" s="12">
        <v>0</v>
      </c>
      <c r="E127" s="9" t="s">
        <v>257</v>
      </c>
      <c r="F127" s="9" t="s">
        <v>257</v>
      </c>
      <c r="G127" s="9" t="s">
        <v>268</v>
      </c>
    </row>
    <row r="128" spans="1:7" x14ac:dyDescent="0.2">
      <c r="A128" s="9" t="s">
        <v>214</v>
      </c>
      <c r="B128" s="9" t="s">
        <v>214</v>
      </c>
      <c r="C128" s="9" t="s">
        <v>214</v>
      </c>
      <c r="D128" s="12">
        <v>0</v>
      </c>
      <c r="E128" s="9" t="s">
        <v>257</v>
      </c>
      <c r="F128" s="9" t="s">
        <v>257</v>
      </c>
      <c r="G128" s="9" t="s">
        <v>268</v>
      </c>
    </row>
    <row r="129" spans="1:7" x14ac:dyDescent="0.2">
      <c r="A129" s="9" t="s">
        <v>217</v>
      </c>
      <c r="B129" s="9" t="s">
        <v>217</v>
      </c>
      <c r="C129" s="9" t="s">
        <v>217</v>
      </c>
      <c r="D129" s="12">
        <v>0</v>
      </c>
      <c r="E129" s="9" t="s">
        <v>257</v>
      </c>
      <c r="F129" s="9" t="s">
        <v>257</v>
      </c>
      <c r="G129" s="9" t="s">
        <v>268</v>
      </c>
    </row>
    <row r="130" spans="1:7" x14ac:dyDescent="0.2">
      <c r="A130" s="84" t="s">
        <v>220</v>
      </c>
      <c r="B130" s="84" t="s">
        <v>220</v>
      </c>
      <c r="C130" s="84" t="s">
        <v>220</v>
      </c>
      <c r="D130" s="12">
        <v>0</v>
      </c>
      <c r="E130" s="9" t="s">
        <v>257</v>
      </c>
      <c r="F130" s="9" t="s">
        <v>257</v>
      </c>
      <c r="G130" s="9" t="s">
        <v>268</v>
      </c>
    </row>
    <row r="131" spans="1:7" x14ac:dyDescent="0.2">
      <c r="A131" s="9" t="s">
        <v>236</v>
      </c>
      <c r="B131" s="9" t="s">
        <v>236</v>
      </c>
      <c r="C131" s="9" t="s">
        <v>236</v>
      </c>
      <c r="D131" s="12">
        <v>0</v>
      </c>
      <c r="E131" s="9" t="s">
        <v>257</v>
      </c>
      <c r="F131" s="9" t="s">
        <v>257</v>
      </c>
      <c r="G131" s="9" t="s">
        <v>268</v>
      </c>
    </row>
  </sheetData>
  <autoFilter ref="A1:G121" xr:uid="{44742416-D61F-4A68-94D7-152F75576A48}">
    <sortState xmlns:xlrd2="http://schemas.microsoft.com/office/spreadsheetml/2017/richdata2" ref="A2:G131">
      <sortCondition ref="F1:F121"/>
    </sortState>
  </autoFilter>
  <hyperlinks>
    <hyperlink ref="D2" r:id="rId1" xr:uid="{4FB1BDB4-CFA7-B441-92D8-B4B6CE62C687}"/>
    <hyperlink ref="D3" r:id="rId2" xr:uid="{117C5B6D-FFC7-CF40-81A7-E57787180292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8DD36-119B-42DC-B624-DBFE0D96FC69}">
  <sheetPr codeName="Sheet1"/>
  <dimension ref="A1:P210"/>
  <sheetViews>
    <sheetView zoomScale="115" zoomScaleNormal="115" workbookViewId="0">
      <selection activeCell="C2" sqref="C2"/>
    </sheetView>
  </sheetViews>
  <sheetFormatPr baseColWidth="10" defaultColWidth="8.83203125" defaultRowHeight="15" x14ac:dyDescent="0.2"/>
  <cols>
    <col min="1" max="1" width="19.6640625" style="74" bestFit="1" customWidth="1"/>
    <col min="2" max="2" width="21" style="35" bestFit="1" customWidth="1"/>
    <col min="3" max="3" width="42.33203125" bestFit="1" customWidth="1"/>
    <col min="4" max="4" width="17" bestFit="1" customWidth="1"/>
    <col min="5" max="5" width="10.6640625" bestFit="1" customWidth="1"/>
    <col min="6" max="6" width="23.33203125" bestFit="1" customWidth="1"/>
    <col min="10" max="10" width="13.33203125" customWidth="1"/>
    <col min="14" max="14" width="10.33203125" bestFit="1" customWidth="1"/>
  </cols>
  <sheetData>
    <row r="1" spans="1:14" x14ac:dyDescent="0.2">
      <c r="A1" s="76" t="s">
        <v>269</v>
      </c>
      <c r="B1" s="76" t="s">
        <v>270</v>
      </c>
      <c r="C1" s="76" t="s">
        <v>271</v>
      </c>
      <c r="D1" s="76" t="s">
        <v>272</v>
      </c>
      <c r="E1" s="76" t="s">
        <v>273</v>
      </c>
      <c r="F1" s="76" t="s">
        <v>273</v>
      </c>
    </row>
    <row r="2" spans="1:14" x14ac:dyDescent="0.2">
      <c r="A2">
        <v>13317</v>
      </c>
      <c r="B2" s="9" t="s">
        <v>284</v>
      </c>
      <c r="C2" t="s">
        <v>41</v>
      </c>
      <c r="D2" t="s">
        <v>41</v>
      </c>
      <c r="E2" t="s">
        <v>14</v>
      </c>
      <c r="F2" t="s">
        <v>274</v>
      </c>
      <c r="M2" s="37"/>
      <c r="N2" s="35"/>
    </row>
    <row r="3" spans="1:14" x14ac:dyDescent="0.2">
      <c r="A3">
        <v>1120</v>
      </c>
      <c r="B3" s="9" t="s">
        <v>247</v>
      </c>
      <c r="C3" t="s">
        <v>24</v>
      </c>
      <c r="D3" t="s">
        <v>41</v>
      </c>
      <c r="E3" t="s">
        <v>17</v>
      </c>
      <c r="F3" t="s">
        <v>275</v>
      </c>
      <c r="M3" s="37"/>
      <c r="N3" s="35"/>
    </row>
    <row r="4" spans="1:14" x14ac:dyDescent="0.2">
      <c r="A4">
        <v>13357</v>
      </c>
      <c r="B4" s="9" t="s">
        <v>288</v>
      </c>
      <c r="C4" t="s">
        <v>41</v>
      </c>
      <c r="D4" t="s">
        <v>10</v>
      </c>
      <c r="E4" s="77" t="s">
        <v>12</v>
      </c>
      <c r="F4" t="s">
        <v>276</v>
      </c>
      <c r="M4" s="37"/>
    </row>
    <row r="5" spans="1:14" x14ac:dyDescent="0.2">
      <c r="A5" s="37">
        <v>11421</v>
      </c>
      <c r="B5" s="9" t="s">
        <v>284</v>
      </c>
      <c r="C5" t="str">
        <f>VLOOKUP(A5,'Base Nova'!$A$3:$C$329,3,0)</f>
        <v>Moderada</v>
      </c>
      <c r="D5" t="s">
        <v>24</v>
      </c>
      <c r="E5" t="s">
        <v>14</v>
      </c>
      <c r="F5" t="s">
        <v>274</v>
      </c>
      <c r="M5" s="37"/>
    </row>
    <row r="6" spans="1:14" x14ac:dyDescent="0.2">
      <c r="A6" s="37">
        <v>11581</v>
      </c>
      <c r="B6" s="9" t="s">
        <v>247</v>
      </c>
      <c r="C6" t="str">
        <f>VLOOKUP(A6,'Base Nova'!$A$3:$C$329,3,0)</f>
        <v>Offshore</v>
      </c>
      <c r="D6" t="s">
        <v>41</v>
      </c>
      <c r="E6" t="s">
        <v>17</v>
      </c>
      <c r="F6" t="s">
        <v>275</v>
      </c>
      <c r="M6" s="37"/>
      <c r="N6" s="78"/>
    </row>
    <row r="7" spans="1:14" x14ac:dyDescent="0.2">
      <c r="A7">
        <v>13544</v>
      </c>
      <c r="B7" s="9" t="s">
        <v>247</v>
      </c>
      <c r="C7" t="str">
        <f>VLOOKUP(A7,'Base Nova'!$A$3:$C$329,3,0)</f>
        <v xml:space="preserve">Moderada </v>
      </c>
      <c r="D7" t="s">
        <v>10</v>
      </c>
      <c r="E7" s="77" t="s">
        <v>14</v>
      </c>
      <c r="F7" t="s">
        <v>274</v>
      </c>
      <c r="M7" s="37"/>
    </row>
    <row r="8" spans="1:14" x14ac:dyDescent="0.2">
      <c r="A8">
        <v>11737</v>
      </c>
      <c r="B8" s="9" t="s">
        <v>247</v>
      </c>
      <c r="C8" t="str">
        <f>VLOOKUP(A8,'Base Nova'!$A$3:$C$329,3,0)</f>
        <v xml:space="preserve">Moderada </v>
      </c>
      <c r="D8" t="s">
        <v>10</v>
      </c>
      <c r="E8" s="77" t="s">
        <v>14</v>
      </c>
      <c r="F8" t="s">
        <v>274</v>
      </c>
      <c r="M8" s="37"/>
      <c r="N8" s="35"/>
    </row>
    <row r="9" spans="1:14" x14ac:dyDescent="0.2">
      <c r="A9">
        <v>11866</v>
      </c>
      <c r="B9" s="9" t="s">
        <v>247</v>
      </c>
      <c r="C9" t="str">
        <f>VLOOKUP(A9,'Base Nova'!$A$3:$C$329,3,0)</f>
        <v>Offshore</v>
      </c>
      <c r="D9" t="s">
        <v>41</v>
      </c>
      <c r="E9" t="s">
        <v>17</v>
      </c>
      <c r="F9" t="s">
        <v>275</v>
      </c>
      <c r="M9" s="37"/>
    </row>
    <row r="10" spans="1:14" x14ac:dyDescent="0.2">
      <c r="A10" s="37">
        <v>13713</v>
      </c>
      <c r="B10" s="9" t="s">
        <v>247</v>
      </c>
      <c r="C10" t="str">
        <f>VLOOKUP(A10,'Base Nova'!$A$3:$C$329,3,0)</f>
        <v>Moderada</v>
      </c>
      <c r="D10" t="s">
        <v>24</v>
      </c>
      <c r="E10" t="s">
        <v>14</v>
      </c>
      <c r="F10" t="s">
        <v>274</v>
      </c>
      <c r="M10" s="37"/>
    </row>
    <row r="11" spans="1:14" x14ac:dyDescent="0.2">
      <c r="A11" s="37">
        <v>11808</v>
      </c>
      <c r="B11" s="9" t="s">
        <v>247</v>
      </c>
      <c r="C11" t="str">
        <f>VLOOKUP(A11,'Base Nova'!$A$3:$C$329,3,0)</f>
        <v>Agressiva</v>
      </c>
      <c r="D11" t="s">
        <v>26</v>
      </c>
      <c r="E11" t="s">
        <v>42</v>
      </c>
      <c r="F11" t="s">
        <v>277</v>
      </c>
      <c r="J11" s="79"/>
      <c r="M11" s="37"/>
    </row>
    <row r="12" spans="1:14" x14ac:dyDescent="0.2">
      <c r="A12" s="37">
        <v>11636</v>
      </c>
      <c r="B12" s="9" t="s">
        <v>247</v>
      </c>
      <c r="C12" t="str">
        <f>VLOOKUP(A12,'Base Nova'!$A$3:$C$329,3,0)</f>
        <v>Moderada</v>
      </c>
      <c r="D12" t="s">
        <v>24</v>
      </c>
      <c r="E12" t="s">
        <v>14</v>
      </c>
      <c r="F12" t="s">
        <v>274</v>
      </c>
    </row>
    <row r="13" spans="1:14" x14ac:dyDescent="0.2">
      <c r="A13" s="37">
        <v>11799</v>
      </c>
      <c r="B13" s="9" t="s">
        <v>247</v>
      </c>
      <c r="C13" t="str">
        <f>VLOOKUP(A13,'Base Nova'!$A$3:$C$329,3,0)</f>
        <v>Offshore</v>
      </c>
      <c r="D13" t="s">
        <v>41</v>
      </c>
      <c r="E13" t="s">
        <v>44</v>
      </c>
      <c r="F13" t="s">
        <v>278</v>
      </c>
      <c r="M13" s="37"/>
    </row>
    <row r="14" spans="1:14" x14ac:dyDescent="0.2">
      <c r="A14" s="37">
        <v>12481</v>
      </c>
      <c r="B14" s="9" t="s">
        <v>247</v>
      </c>
      <c r="C14" t="str">
        <f>VLOOKUP(A14,'Base Nova'!$A$3:$C$329,3,0)</f>
        <v>Offshore</v>
      </c>
      <c r="D14" t="s">
        <v>41</v>
      </c>
      <c r="E14" t="s">
        <v>44</v>
      </c>
      <c r="F14" t="s">
        <v>278</v>
      </c>
      <c r="M14" s="37"/>
    </row>
    <row r="15" spans="1:14" x14ac:dyDescent="0.2">
      <c r="A15" s="37">
        <v>11645</v>
      </c>
      <c r="B15" s="9" t="s">
        <v>247</v>
      </c>
      <c r="C15" t="str">
        <f>VLOOKUP(A15,'Base Nova'!$A$3:$C$329,3,0)</f>
        <v>Moderada</v>
      </c>
      <c r="D15" t="s">
        <v>24</v>
      </c>
      <c r="E15" t="s">
        <v>14</v>
      </c>
      <c r="F15" t="s">
        <v>274</v>
      </c>
      <c r="M15" s="37"/>
    </row>
    <row r="16" spans="1:14" x14ac:dyDescent="0.2">
      <c r="A16" s="37">
        <v>13731</v>
      </c>
      <c r="B16" s="9" t="s">
        <v>247</v>
      </c>
      <c r="C16" t="str">
        <f>VLOOKUP(A16,'Base Nova'!$A$3:$C$329,3,0)</f>
        <v>Moderada</v>
      </c>
      <c r="D16" t="s">
        <v>24</v>
      </c>
      <c r="E16" t="s">
        <v>14</v>
      </c>
      <c r="F16" t="s">
        <v>274</v>
      </c>
      <c r="M16" s="37"/>
    </row>
    <row r="17" spans="1:16" x14ac:dyDescent="0.2">
      <c r="A17" s="37">
        <v>12253</v>
      </c>
      <c r="B17" s="9" t="s">
        <v>247</v>
      </c>
      <c r="C17" t="str">
        <f>VLOOKUP(A17,'Base Nova'!$A$3:$C$329,3,0)</f>
        <v>Moderada</v>
      </c>
      <c r="D17" t="s">
        <v>24</v>
      </c>
      <c r="E17" t="s">
        <v>14</v>
      </c>
      <c r="F17" t="s">
        <v>274</v>
      </c>
      <c r="M17" s="37"/>
    </row>
    <row r="18" spans="1:16" x14ac:dyDescent="0.2">
      <c r="A18" s="37">
        <v>12292</v>
      </c>
      <c r="B18" s="9" t="s">
        <v>247</v>
      </c>
      <c r="C18" t="str">
        <f>VLOOKUP(A18,'Base Nova'!$A$3:$C$329,3,0)</f>
        <v>Moderada</v>
      </c>
      <c r="D18" t="s">
        <v>24</v>
      </c>
      <c r="E18" t="s">
        <v>14</v>
      </c>
      <c r="F18" t="s">
        <v>274</v>
      </c>
    </row>
    <row r="19" spans="1:16" x14ac:dyDescent="0.2">
      <c r="A19" s="37">
        <v>12920</v>
      </c>
      <c r="B19" s="9" t="s">
        <v>247</v>
      </c>
      <c r="C19" t="str">
        <f>VLOOKUP(A19,'Base Nova'!$A$3:$C$329,3,0)</f>
        <v>Offshore</v>
      </c>
      <c r="D19" t="s">
        <v>41</v>
      </c>
      <c r="E19" t="s">
        <v>17</v>
      </c>
      <c r="F19" t="s">
        <v>275</v>
      </c>
    </row>
    <row r="20" spans="1:16" x14ac:dyDescent="0.2">
      <c r="A20" s="37">
        <v>13373</v>
      </c>
      <c r="B20" s="9" t="s">
        <v>247</v>
      </c>
      <c r="C20" t="str">
        <f>VLOOKUP(A20,'Base Nova'!$A$3:$C$329,3,0)</f>
        <v>Moderada</v>
      </c>
      <c r="D20" t="s">
        <v>24</v>
      </c>
      <c r="E20" t="s">
        <v>14</v>
      </c>
      <c r="F20" t="s">
        <v>274</v>
      </c>
    </row>
    <row r="21" spans="1:16" x14ac:dyDescent="0.2">
      <c r="A21" s="37">
        <v>12241</v>
      </c>
      <c r="B21" s="9" t="s">
        <v>247</v>
      </c>
      <c r="C21" t="str">
        <f>VLOOKUP(A21,'Base Nova'!$A$3:$C$329,3,0)</f>
        <v>Moderada</v>
      </c>
      <c r="D21" t="s">
        <v>24</v>
      </c>
      <c r="E21" t="s">
        <v>14</v>
      </c>
      <c r="F21" t="s">
        <v>274</v>
      </c>
    </row>
    <row r="22" spans="1:16" x14ac:dyDescent="0.2">
      <c r="A22" s="37">
        <v>12244</v>
      </c>
      <c r="B22" s="9" t="s">
        <v>247</v>
      </c>
      <c r="C22" t="str">
        <f>VLOOKUP(A22,'Base Nova'!$A$3:$C$329,3,0)</f>
        <v>Offshore</v>
      </c>
      <c r="D22" t="s">
        <v>41</v>
      </c>
      <c r="E22" t="s">
        <v>17</v>
      </c>
      <c r="F22" t="s">
        <v>275</v>
      </c>
    </row>
    <row r="23" spans="1:16" x14ac:dyDescent="0.2">
      <c r="A23" s="37">
        <v>13754</v>
      </c>
      <c r="B23" s="9" t="s">
        <v>247</v>
      </c>
      <c r="C23" t="str">
        <f>VLOOKUP(A23,'Base Nova'!$A$3:$C$329,3,0)</f>
        <v>Offshore</v>
      </c>
      <c r="D23" t="s">
        <v>41</v>
      </c>
      <c r="E23" t="s">
        <v>17</v>
      </c>
      <c r="F23" t="s">
        <v>275</v>
      </c>
    </row>
    <row r="24" spans="1:16" x14ac:dyDescent="0.2">
      <c r="A24" s="37">
        <v>14222</v>
      </c>
      <c r="B24" s="9" t="s">
        <v>247</v>
      </c>
      <c r="C24" t="str">
        <f>VLOOKUP(A24,'Base Nova'!$A$3:$C$329,3,0)</f>
        <v>Conservadora</v>
      </c>
      <c r="D24" t="s">
        <v>25</v>
      </c>
      <c r="E24" t="s">
        <v>13</v>
      </c>
      <c r="F24" t="s">
        <v>279</v>
      </c>
    </row>
    <row r="25" spans="1:16" x14ac:dyDescent="0.2">
      <c r="A25">
        <v>11261</v>
      </c>
      <c r="B25" s="9" t="s">
        <v>247</v>
      </c>
      <c r="C25" t="str">
        <f>VLOOKUP(A25,'Base Nova'!$A$3:$C$329,3,0)</f>
        <v xml:space="preserve">Moderada </v>
      </c>
      <c r="D25" t="s">
        <v>10</v>
      </c>
      <c r="E25" s="77" t="s">
        <v>12</v>
      </c>
      <c r="F25" t="s">
        <v>276</v>
      </c>
    </row>
    <row r="26" spans="1:16" x14ac:dyDescent="0.2">
      <c r="A26">
        <v>13985</v>
      </c>
      <c r="B26" s="9" t="s">
        <v>247</v>
      </c>
      <c r="C26" t="str">
        <f>VLOOKUP(A26,'Base Nova'!$A$3:$C$329,3,0)</f>
        <v>Offshore</v>
      </c>
      <c r="D26" t="s">
        <v>41</v>
      </c>
      <c r="E26" s="77" t="s">
        <v>17</v>
      </c>
      <c r="F26" t="s">
        <v>275</v>
      </c>
    </row>
    <row r="27" spans="1:16" x14ac:dyDescent="0.2">
      <c r="A27">
        <v>12484</v>
      </c>
      <c r="B27" s="9" t="s">
        <v>247</v>
      </c>
      <c r="C27" t="str">
        <f>VLOOKUP(A27,'Base Nova'!$A$3:$C$329,3,0)</f>
        <v>Conservadora</v>
      </c>
      <c r="D27" t="s">
        <v>25</v>
      </c>
      <c r="E27" s="80" t="s">
        <v>13</v>
      </c>
      <c r="F27" t="s">
        <v>279</v>
      </c>
    </row>
    <row r="28" spans="1:16" x14ac:dyDescent="0.2">
      <c r="A28" s="37">
        <v>12229</v>
      </c>
      <c r="B28" s="9" t="s">
        <v>247</v>
      </c>
      <c r="C28" t="str">
        <f>VLOOKUP(A28,'Base Nova'!$A$3:$C$329,3,0)</f>
        <v>Moderada</v>
      </c>
      <c r="D28" t="s">
        <v>24</v>
      </c>
      <c r="E28" t="s">
        <v>14</v>
      </c>
      <c r="F28" t="s">
        <v>274</v>
      </c>
    </row>
    <row r="29" spans="1:16" x14ac:dyDescent="0.2">
      <c r="A29" s="37">
        <v>11639</v>
      </c>
      <c r="B29" s="9" t="s">
        <v>247</v>
      </c>
      <c r="C29" t="str">
        <f>VLOOKUP(A29,'Base Nova'!$A$3:$C$329,3,0)</f>
        <v>Offshore</v>
      </c>
      <c r="D29" t="s">
        <v>41</v>
      </c>
      <c r="E29" t="s">
        <v>17</v>
      </c>
      <c r="F29" t="s">
        <v>275</v>
      </c>
    </row>
    <row r="30" spans="1:16" x14ac:dyDescent="0.2">
      <c r="A30" s="37">
        <v>12420</v>
      </c>
      <c r="B30" s="9" t="s">
        <v>247</v>
      </c>
      <c r="C30" t="str">
        <f>VLOOKUP(A30,'Base Nova'!$A$3:$C$329,3,0)</f>
        <v>Moderada</v>
      </c>
      <c r="D30" t="s">
        <v>24</v>
      </c>
      <c r="E30" t="s">
        <v>14</v>
      </c>
      <c r="F30" t="s">
        <v>274</v>
      </c>
    </row>
    <row r="31" spans="1:16" x14ac:dyDescent="0.2">
      <c r="A31" s="74">
        <v>14469</v>
      </c>
      <c r="B31" s="9" t="s">
        <v>247</v>
      </c>
      <c r="C31" t="str">
        <f>VLOOKUP(A31,'Base Nova'!$A$3:$C$329,3,0)</f>
        <v xml:space="preserve">Moderada </v>
      </c>
      <c r="D31" t="s">
        <v>10</v>
      </c>
      <c r="E31" t="s">
        <v>14</v>
      </c>
      <c r="F31" t="s">
        <v>274</v>
      </c>
    </row>
    <row r="32" spans="1:16" x14ac:dyDescent="0.2">
      <c r="A32">
        <v>13383</v>
      </c>
      <c r="B32" s="9" t="s">
        <v>247</v>
      </c>
      <c r="C32" t="str">
        <f>VLOOKUP(A32,'Base Nova'!$A$3:$C$329,3,0)</f>
        <v>Moderada</v>
      </c>
      <c r="D32" t="s">
        <v>24</v>
      </c>
      <c r="E32" s="77" t="s">
        <v>14</v>
      </c>
      <c r="F32" t="s">
        <v>274</v>
      </c>
      <c r="P32" s="37"/>
    </row>
    <row r="33" spans="1:16" x14ac:dyDescent="0.2">
      <c r="A33">
        <v>13775</v>
      </c>
      <c r="B33" s="9" t="s">
        <v>247</v>
      </c>
      <c r="C33" t="str">
        <f>VLOOKUP(A33,'Base Nova'!$A$3:$C$329,3,0)</f>
        <v>Offshore</v>
      </c>
      <c r="D33" t="s">
        <v>41</v>
      </c>
      <c r="E33" t="s">
        <v>17</v>
      </c>
      <c r="F33" t="s">
        <v>275</v>
      </c>
      <c r="P33" s="37"/>
    </row>
    <row r="34" spans="1:16" x14ac:dyDescent="0.2">
      <c r="A34" s="37">
        <v>13793</v>
      </c>
      <c r="B34" s="9" t="s">
        <v>247</v>
      </c>
      <c r="C34" t="str">
        <f>VLOOKUP(A34,'Base Nova'!$A$3:$C$329,3,0)</f>
        <v>Moderada</v>
      </c>
      <c r="D34" t="s">
        <v>24</v>
      </c>
      <c r="E34" t="s">
        <v>14</v>
      </c>
      <c r="F34" t="s">
        <v>274</v>
      </c>
      <c r="P34" s="37"/>
    </row>
    <row r="35" spans="1:16" x14ac:dyDescent="0.2">
      <c r="A35">
        <v>13741</v>
      </c>
      <c r="B35" s="9" t="s">
        <v>247</v>
      </c>
      <c r="C35" t="str">
        <f>VLOOKUP(A35,'Base Nova'!$A$3:$C$329,3,0)</f>
        <v>Moderada</v>
      </c>
      <c r="D35" s="81" t="s">
        <v>24</v>
      </c>
      <c r="E35" s="77" t="s">
        <v>14</v>
      </c>
      <c r="F35" t="s">
        <v>274</v>
      </c>
    </row>
    <row r="36" spans="1:16" x14ac:dyDescent="0.2">
      <c r="A36">
        <v>13466</v>
      </c>
      <c r="B36" s="9" t="s">
        <v>247</v>
      </c>
      <c r="C36" t="str">
        <f>VLOOKUP(A36,'Base Nova'!$A$3:$C$329,3,0)</f>
        <v>Moderada</v>
      </c>
      <c r="D36" t="s">
        <v>24</v>
      </c>
      <c r="E36" s="77" t="s">
        <v>14</v>
      </c>
      <c r="F36" t="s">
        <v>274</v>
      </c>
    </row>
    <row r="37" spans="1:16" x14ac:dyDescent="0.2">
      <c r="A37">
        <v>12043</v>
      </c>
      <c r="B37" s="9" t="s">
        <v>247</v>
      </c>
      <c r="C37" t="str">
        <f>VLOOKUP(A37,'Base Nova'!$A$3:$C$329,3,0)</f>
        <v>Conservadora</v>
      </c>
      <c r="D37" t="s">
        <v>25</v>
      </c>
      <c r="E37" t="s">
        <v>13</v>
      </c>
      <c r="F37" t="s">
        <v>279</v>
      </c>
    </row>
    <row r="38" spans="1:16" x14ac:dyDescent="0.2">
      <c r="A38">
        <v>12082</v>
      </c>
      <c r="B38" s="9" t="s">
        <v>247</v>
      </c>
      <c r="C38" t="str">
        <f>VLOOKUP(A38,'Base Nova'!$A$3:$C$329,3,0)</f>
        <v>Conservadora</v>
      </c>
      <c r="D38" t="s">
        <v>25</v>
      </c>
      <c r="E38" t="s">
        <v>13</v>
      </c>
      <c r="F38" t="s">
        <v>279</v>
      </c>
      <c r="L38" s="78"/>
    </row>
    <row r="39" spans="1:16" x14ac:dyDescent="0.2">
      <c r="A39">
        <v>12091</v>
      </c>
      <c r="B39" s="9" t="s">
        <v>247</v>
      </c>
      <c r="C39" t="str">
        <f>VLOOKUP(A39,'Base Nova'!$A$3:$C$329,3,0)</f>
        <v>Conservadora</v>
      </c>
      <c r="D39" t="s">
        <v>25</v>
      </c>
      <c r="E39" t="s">
        <v>13</v>
      </c>
      <c r="F39" t="s">
        <v>279</v>
      </c>
    </row>
    <row r="40" spans="1:16" x14ac:dyDescent="0.2">
      <c r="A40">
        <v>12104</v>
      </c>
      <c r="B40" s="9" t="s">
        <v>247</v>
      </c>
      <c r="C40" t="str">
        <f>VLOOKUP(A40,'Base Nova'!$A$3:$C$329,3,0)</f>
        <v>Conservadora</v>
      </c>
      <c r="D40" t="s">
        <v>25</v>
      </c>
      <c r="E40" t="s">
        <v>13</v>
      </c>
      <c r="F40" t="s">
        <v>279</v>
      </c>
    </row>
    <row r="41" spans="1:16" x14ac:dyDescent="0.2">
      <c r="A41">
        <v>12972</v>
      </c>
      <c r="B41" s="9" t="s">
        <v>247</v>
      </c>
      <c r="C41" t="str">
        <f>VLOOKUP(A41,'Base Nova'!$A$3:$C$329,3,0)</f>
        <v>Conservadora</v>
      </c>
      <c r="D41" t="s">
        <v>25</v>
      </c>
      <c r="E41" t="s">
        <v>13</v>
      </c>
      <c r="F41" t="s">
        <v>279</v>
      </c>
    </row>
    <row r="42" spans="1:16" x14ac:dyDescent="0.2">
      <c r="A42">
        <v>13853</v>
      </c>
      <c r="B42" s="9" t="s">
        <v>247</v>
      </c>
      <c r="C42" t="str">
        <f>VLOOKUP(A42,'Base Nova'!$A$3:$C$329,3,0)</f>
        <v xml:space="preserve">Moderada </v>
      </c>
      <c r="D42" t="s">
        <v>10</v>
      </c>
      <c r="E42" s="77" t="s">
        <v>14</v>
      </c>
      <c r="F42" t="s">
        <v>274</v>
      </c>
    </row>
    <row r="43" spans="1:16" x14ac:dyDescent="0.2">
      <c r="A43">
        <v>12654</v>
      </c>
      <c r="B43" s="9" t="s">
        <v>247</v>
      </c>
      <c r="C43" t="str">
        <f>VLOOKUP(A43,'Base Nova'!$A$3:$C$329,3,0)</f>
        <v>Offshore</v>
      </c>
      <c r="D43" t="s">
        <v>41</v>
      </c>
      <c r="E43" t="s">
        <v>17</v>
      </c>
      <c r="F43" t="s">
        <v>275</v>
      </c>
    </row>
    <row r="44" spans="1:16" x14ac:dyDescent="0.2">
      <c r="A44" s="37">
        <v>12335</v>
      </c>
      <c r="B44" s="9" t="s">
        <v>247</v>
      </c>
      <c r="C44" t="str">
        <f>VLOOKUP(A44,'Base Nova'!$A$3:$C$329,3,0)</f>
        <v>Offshore</v>
      </c>
      <c r="D44" t="s">
        <v>41</v>
      </c>
      <c r="E44" t="s">
        <v>17</v>
      </c>
      <c r="F44" t="s">
        <v>275</v>
      </c>
    </row>
    <row r="45" spans="1:16" x14ac:dyDescent="0.2">
      <c r="A45" s="37">
        <v>12326</v>
      </c>
      <c r="B45" s="9" t="s">
        <v>247</v>
      </c>
      <c r="C45" t="str">
        <f>VLOOKUP(A45,'Base Nova'!$A$3:$C$329,3,0)</f>
        <v>Moderada</v>
      </c>
      <c r="D45" t="s">
        <v>24</v>
      </c>
      <c r="E45" t="s">
        <v>14</v>
      </c>
      <c r="F45" t="s">
        <v>274</v>
      </c>
    </row>
    <row r="46" spans="1:16" x14ac:dyDescent="0.2">
      <c r="A46" s="37">
        <v>12626</v>
      </c>
      <c r="B46" s="9" t="s">
        <v>247</v>
      </c>
      <c r="C46" t="str">
        <f>VLOOKUP(A46,'Base Nova'!$A$3:$C$329,3,0)</f>
        <v>Moderada</v>
      </c>
      <c r="D46" t="s">
        <v>24</v>
      </c>
      <c r="E46" t="s">
        <v>14</v>
      </c>
      <c r="F46" t="s">
        <v>274</v>
      </c>
    </row>
    <row r="47" spans="1:16" x14ac:dyDescent="0.2">
      <c r="A47" s="37">
        <v>13163</v>
      </c>
      <c r="B47" s="9" t="s">
        <v>247</v>
      </c>
      <c r="C47" t="str">
        <f>VLOOKUP(A47,'Base Nova'!$A$3:$C$329,3,0)</f>
        <v>Moderada</v>
      </c>
      <c r="D47" t="s">
        <v>24</v>
      </c>
      <c r="E47" t="s">
        <v>14</v>
      </c>
      <c r="F47" t="s">
        <v>274</v>
      </c>
    </row>
    <row r="48" spans="1:16" x14ac:dyDescent="0.2">
      <c r="A48" s="37">
        <v>12372</v>
      </c>
      <c r="B48" s="9" t="s">
        <v>247</v>
      </c>
      <c r="C48" t="str">
        <f>VLOOKUP(A48,'Base Nova'!$A$3:$C$329,3,0)</f>
        <v>Moderada</v>
      </c>
      <c r="D48" t="s">
        <v>24</v>
      </c>
      <c r="E48" t="s">
        <v>14</v>
      </c>
      <c r="F48" t="s">
        <v>274</v>
      </c>
    </row>
    <row r="49" spans="1:6" x14ac:dyDescent="0.2">
      <c r="A49" s="37">
        <v>12420</v>
      </c>
      <c r="B49" s="9" t="s">
        <v>247</v>
      </c>
      <c r="C49" t="str">
        <f>VLOOKUP(A49,'Base Nova'!$A$3:$C$329,3,0)</f>
        <v>Moderada</v>
      </c>
      <c r="D49" t="s">
        <v>24</v>
      </c>
      <c r="E49" t="s">
        <v>14</v>
      </c>
      <c r="F49" t="s">
        <v>274</v>
      </c>
    </row>
    <row r="50" spans="1:6" x14ac:dyDescent="0.2">
      <c r="A50" s="37">
        <v>11992</v>
      </c>
      <c r="B50" s="9" t="s">
        <v>247</v>
      </c>
      <c r="C50" t="str">
        <f>VLOOKUP(A50,'Base Nova'!$A$3:$C$329,3,0)</f>
        <v>Offshore</v>
      </c>
      <c r="D50" t="s">
        <v>41</v>
      </c>
      <c r="E50" t="s">
        <v>17</v>
      </c>
      <c r="F50" t="s">
        <v>275</v>
      </c>
    </row>
    <row r="51" spans="1:6" x14ac:dyDescent="0.2">
      <c r="A51" s="37">
        <v>11515</v>
      </c>
      <c r="B51" s="9" t="s">
        <v>247</v>
      </c>
      <c r="C51" t="str">
        <f>VLOOKUP(A51,'Base Nova'!$A$3:$C$329,3,0)</f>
        <v>Offshore</v>
      </c>
      <c r="D51" t="s">
        <v>41</v>
      </c>
      <c r="E51" t="s">
        <v>17</v>
      </c>
      <c r="F51" t="s">
        <v>275</v>
      </c>
    </row>
    <row r="52" spans="1:6" x14ac:dyDescent="0.2">
      <c r="A52">
        <v>12452</v>
      </c>
      <c r="B52" s="9" t="s">
        <v>247</v>
      </c>
      <c r="C52" t="str">
        <f>VLOOKUP(A52,'Base Nova'!$A$3:$C$329,3,0)</f>
        <v>Conservadora</v>
      </c>
      <c r="D52" t="s">
        <v>25</v>
      </c>
      <c r="E52" t="s">
        <v>13</v>
      </c>
      <c r="F52" t="s">
        <v>279</v>
      </c>
    </row>
    <row r="53" spans="1:6" x14ac:dyDescent="0.2">
      <c r="A53">
        <v>12455</v>
      </c>
      <c r="B53" s="9" t="s">
        <v>247</v>
      </c>
      <c r="C53" t="str">
        <f>VLOOKUP(A53,'Base Nova'!$A$3:$C$329,3,0)</f>
        <v>Conservadora</v>
      </c>
      <c r="D53" t="s">
        <v>25</v>
      </c>
      <c r="E53" t="s">
        <v>13</v>
      </c>
      <c r="F53" t="s">
        <v>279</v>
      </c>
    </row>
    <row r="54" spans="1:6" x14ac:dyDescent="0.2">
      <c r="A54">
        <v>12446</v>
      </c>
      <c r="B54" s="9" t="s">
        <v>247</v>
      </c>
      <c r="C54" t="str">
        <f>VLOOKUP(A54,'Base Nova'!$A$3:$C$329,3,0)</f>
        <v>Conservadora</v>
      </c>
      <c r="D54" t="s">
        <v>25</v>
      </c>
      <c r="E54" t="s">
        <v>13</v>
      </c>
      <c r="F54" t="s">
        <v>279</v>
      </c>
    </row>
    <row r="55" spans="1:6" x14ac:dyDescent="0.2">
      <c r="A55">
        <v>11617</v>
      </c>
      <c r="B55" s="9" t="s">
        <v>247</v>
      </c>
      <c r="C55" t="str">
        <f>VLOOKUP(A55,'Base Nova'!$A$3:$C$329,3,0)</f>
        <v>Moderada</v>
      </c>
      <c r="D55" t="s">
        <v>24</v>
      </c>
      <c r="E55" s="77" t="s">
        <v>14</v>
      </c>
      <c r="F55" t="s">
        <v>274</v>
      </c>
    </row>
    <row r="56" spans="1:6" x14ac:dyDescent="0.2">
      <c r="A56">
        <v>12869</v>
      </c>
      <c r="B56" s="9" t="s">
        <v>247</v>
      </c>
      <c r="C56" t="str">
        <f>VLOOKUP(A56,'Base Nova'!$A$3:$C$329,3,0)</f>
        <v xml:space="preserve">Moderada </v>
      </c>
      <c r="D56" t="s">
        <v>10</v>
      </c>
      <c r="E56" t="s">
        <v>14</v>
      </c>
      <c r="F56" t="s">
        <v>274</v>
      </c>
    </row>
    <row r="57" spans="1:6" x14ac:dyDescent="0.2">
      <c r="A57">
        <v>12872</v>
      </c>
      <c r="B57" s="9" t="s">
        <v>247</v>
      </c>
      <c r="C57" t="str">
        <f>VLOOKUP(A57,'Base Nova'!$A$3:$C$329,3,0)</f>
        <v>Offshore</v>
      </c>
      <c r="D57" t="s">
        <v>41</v>
      </c>
      <c r="E57" t="s">
        <v>17</v>
      </c>
      <c r="F57" t="s">
        <v>275</v>
      </c>
    </row>
    <row r="58" spans="1:6" x14ac:dyDescent="0.2">
      <c r="A58" s="74">
        <v>14069</v>
      </c>
      <c r="B58" s="9" t="s">
        <v>247</v>
      </c>
      <c r="C58" t="str">
        <f>VLOOKUP(A58,'Base Nova'!$A$3:$C$329,3,0)</f>
        <v xml:space="preserve">Moderada </v>
      </c>
      <c r="D58" t="s">
        <v>10</v>
      </c>
      <c r="E58" t="s">
        <v>14</v>
      </c>
      <c r="F58" t="s">
        <v>274</v>
      </c>
    </row>
    <row r="59" spans="1:6" x14ac:dyDescent="0.2">
      <c r="A59">
        <v>12058</v>
      </c>
      <c r="B59" s="9" t="s">
        <v>247</v>
      </c>
      <c r="C59" t="str">
        <f>VLOOKUP(A59,'Base Nova'!$A$3:$C$329,3,0)</f>
        <v>Conservadora</v>
      </c>
      <c r="D59" t="s">
        <v>25</v>
      </c>
      <c r="E59" s="82" t="s">
        <v>12</v>
      </c>
      <c r="F59" t="s">
        <v>280</v>
      </c>
    </row>
    <row r="60" spans="1:6" x14ac:dyDescent="0.2">
      <c r="A60">
        <v>12061</v>
      </c>
      <c r="B60" s="9" t="s">
        <v>247</v>
      </c>
      <c r="C60" t="str">
        <f>VLOOKUP(A60,'Base Nova'!$A$3:$C$329,3,0)</f>
        <v>Moderada</v>
      </c>
      <c r="D60" t="s">
        <v>24</v>
      </c>
      <c r="E60" s="77" t="s">
        <v>14</v>
      </c>
      <c r="F60" t="s">
        <v>274</v>
      </c>
    </row>
    <row r="61" spans="1:6" x14ac:dyDescent="0.2">
      <c r="A61">
        <v>13590</v>
      </c>
      <c r="B61" s="9" t="s">
        <v>247</v>
      </c>
      <c r="C61" t="str">
        <f>VLOOKUP(A61,'Base Nova'!$A$3:$C$329,3,0)</f>
        <v xml:space="preserve">Moderada </v>
      </c>
      <c r="D61" t="s">
        <v>10</v>
      </c>
      <c r="E61" s="77" t="s">
        <v>14</v>
      </c>
      <c r="F61" t="s">
        <v>274</v>
      </c>
    </row>
    <row r="62" spans="1:6" x14ac:dyDescent="0.2">
      <c r="A62">
        <v>13885</v>
      </c>
      <c r="B62" s="9" t="s">
        <v>247</v>
      </c>
      <c r="C62" t="str">
        <f>VLOOKUP(A62,'Base Nova'!$A$3:$C$329,3,0)</f>
        <v>Offshore</v>
      </c>
      <c r="D62" t="s">
        <v>41</v>
      </c>
      <c r="E62" t="s">
        <v>17</v>
      </c>
      <c r="F62" t="s">
        <v>275</v>
      </c>
    </row>
    <row r="63" spans="1:6" x14ac:dyDescent="0.2">
      <c r="A63" s="37">
        <v>11687</v>
      </c>
      <c r="B63" s="9" t="s">
        <v>247</v>
      </c>
      <c r="C63" t="str">
        <f>VLOOKUP(A63,'Base Nova'!$A$3:$C$329,3,0)</f>
        <v>Moderada</v>
      </c>
      <c r="D63" t="s">
        <v>24</v>
      </c>
      <c r="E63" t="s">
        <v>14</v>
      </c>
      <c r="F63" t="s">
        <v>274</v>
      </c>
    </row>
    <row r="64" spans="1:6" x14ac:dyDescent="0.2">
      <c r="A64" s="37">
        <v>11258</v>
      </c>
      <c r="B64" s="9" t="s">
        <v>247</v>
      </c>
      <c r="C64" t="str">
        <f>VLOOKUP(A64,'Base Nova'!$A$3:$C$329,3,0)</f>
        <v>Moderada</v>
      </c>
      <c r="D64" t="s">
        <v>24</v>
      </c>
      <c r="E64" t="s">
        <v>12</v>
      </c>
      <c r="F64" t="s">
        <v>276</v>
      </c>
    </row>
    <row r="65" spans="1:6" x14ac:dyDescent="0.2">
      <c r="A65" s="37">
        <v>12408</v>
      </c>
      <c r="B65" s="9" t="s">
        <v>247</v>
      </c>
      <c r="C65" t="str">
        <f>VLOOKUP(A65,'Base Nova'!$A$3:$C$329,3,0)</f>
        <v>Offshore</v>
      </c>
      <c r="D65" t="s">
        <v>41</v>
      </c>
      <c r="E65" t="s">
        <v>17</v>
      </c>
      <c r="F65" t="s">
        <v>275</v>
      </c>
    </row>
    <row r="66" spans="1:6" x14ac:dyDescent="0.2">
      <c r="A66">
        <v>13401</v>
      </c>
      <c r="B66" s="9" t="s">
        <v>247</v>
      </c>
      <c r="C66" t="str">
        <f>VLOOKUP(A66,'Base Nova'!$A$3:$C$329,3,0)</f>
        <v>Moderada</v>
      </c>
      <c r="D66" t="s">
        <v>24</v>
      </c>
      <c r="E66" t="s">
        <v>14</v>
      </c>
      <c r="F66" t="s">
        <v>274</v>
      </c>
    </row>
    <row r="67" spans="1:6" x14ac:dyDescent="0.2">
      <c r="A67">
        <v>13407</v>
      </c>
      <c r="B67" s="9" t="s">
        <v>247</v>
      </c>
      <c r="C67" t="str">
        <f>VLOOKUP(A67,'Base Nova'!$A$3:$C$329,3,0)</f>
        <v>Moderada</v>
      </c>
      <c r="D67" t="s">
        <v>24</v>
      </c>
      <c r="E67" t="s">
        <v>14</v>
      </c>
      <c r="F67" t="s">
        <v>274</v>
      </c>
    </row>
    <row r="68" spans="1:6" x14ac:dyDescent="0.2">
      <c r="A68">
        <v>13404</v>
      </c>
      <c r="B68" s="9" t="s">
        <v>247</v>
      </c>
      <c r="C68" t="str">
        <f>VLOOKUP(A68,'Base Nova'!$A$3:$C$329,3,0)</f>
        <v>Moderada</v>
      </c>
      <c r="D68" t="s">
        <v>24</v>
      </c>
      <c r="E68" t="s">
        <v>14</v>
      </c>
      <c r="F68" t="s">
        <v>274</v>
      </c>
    </row>
    <row r="69" spans="1:6" x14ac:dyDescent="0.2">
      <c r="A69">
        <v>13410</v>
      </c>
      <c r="B69" s="9" t="s">
        <v>247</v>
      </c>
      <c r="C69" t="str">
        <f>VLOOKUP(A69,'Base Nova'!$A$3:$C$329,3,0)</f>
        <v>Offshore</v>
      </c>
      <c r="D69" t="s">
        <v>41</v>
      </c>
      <c r="E69" t="s">
        <v>17</v>
      </c>
      <c r="F69" t="s">
        <v>275</v>
      </c>
    </row>
    <row r="70" spans="1:6" x14ac:dyDescent="0.2">
      <c r="A70">
        <v>13614</v>
      </c>
      <c r="B70" s="9" t="s">
        <v>247</v>
      </c>
      <c r="C70" t="str">
        <f>VLOOKUP(A70,'Base Nova'!$A$3:$C$329,3,0)</f>
        <v>Offshore</v>
      </c>
      <c r="D70" t="s">
        <v>41</v>
      </c>
      <c r="E70" t="s">
        <v>17</v>
      </c>
      <c r="F70" t="s">
        <v>275</v>
      </c>
    </row>
    <row r="71" spans="1:6" x14ac:dyDescent="0.2">
      <c r="A71">
        <v>14016</v>
      </c>
      <c r="B71" s="9" t="s">
        <v>247</v>
      </c>
      <c r="C71" t="str">
        <f>VLOOKUP(A71,'Base Nova'!$A$3:$C$329,3,0)</f>
        <v xml:space="preserve">Moderada </v>
      </c>
      <c r="D71" t="s">
        <v>10</v>
      </c>
      <c r="E71" s="77" t="s">
        <v>14</v>
      </c>
      <c r="F71" t="s">
        <v>274</v>
      </c>
    </row>
    <row r="72" spans="1:6" x14ac:dyDescent="0.2">
      <c r="A72">
        <v>14010</v>
      </c>
      <c r="B72" s="9" t="s">
        <v>247</v>
      </c>
      <c r="C72" t="str">
        <f>VLOOKUP(A72,'Base Nova'!$A$3:$C$329,3,0)</f>
        <v>Offshore</v>
      </c>
      <c r="D72" t="s">
        <v>41</v>
      </c>
      <c r="E72" t="s">
        <v>17</v>
      </c>
      <c r="F72" t="s">
        <v>275</v>
      </c>
    </row>
    <row r="73" spans="1:6" x14ac:dyDescent="0.2">
      <c r="A73">
        <v>14318</v>
      </c>
      <c r="B73" s="9" t="s">
        <v>247</v>
      </c>
      <c r="C73" t="str">
        <f>VLOOKUP(A73,'Base Nova'!$A$3:$C$329,3,0)</f>
        <v>Offshore</v>
      </c>
      <c r="D73" t="s">
        <v>41</v>
      </c>
      <c r="E73" t="s">
        <v>17</v>
      </c>
      <c r="F73" t="s">
        <v>275</v>
      </c>
    </row>
    <row r="74" spans="1:6" x14ac:dyDescent="0.2">
      <c r="A74">
        <v>14010</v>
      </c>
      <c r="B74" s="9" t="s">
        <v>247</v>
      </c>
      <c r="C74" t="str">
        <f>VLOOKUP(A74,'Base Nova'!$A$3:$C$329,3,0)</f>
        <v>Offshore</v>
      </c>
      <c r="D74" t="s">
        <v>41</v>
      </c>
      <c r="E74" t="s">
        <v>17</v>
      </c>
      <c r="F74" t="s">
        <v>275</v>
      </c>
    </row>
    <row r="75" spans="1:6" x14ac:dyDescent="0.2">
      <c r="A75">
        <v>14318</v>
      </c>
      <c r="B75" s="9" t="s">
        <v>247</v>
      </c>
      <c r="C75" t="str">
        <f>VLOOKUP(A75,'Base Nova'!$A$3:$C$329,3,0)</f>
        <v>Offshore</v>
      </c>
      <c r="D75" t="s">
        <v>41</v>
      </c>
      <c r="E75" t="s">
        <v>17</v>
      </c>
      <c r="F75" t="s">
        <v>275</v>
      </c>
    </row>
    <row r="76" spans="1:6" x14ac:dyDescent="0.2">
      <c r="A76">
        <v>13560</v>
      </c>
      <c r="B76" s="9" t="s">
        <v>247</v>
      </c>
      <c r="C76" t="str">
        <f>VLOOKUP(A76,'Base Nova'!$A$3:$C$329,3,0)</f>
        <v>Moderada</v>
      </c>
      <c r="D76" t="s">
        <v>24</v>
      </c>
      <c r="E76" t="s">
        <v>14</v>
      </c>
      <c r="F76" t="s">
        <v>274</v>
      </c>
    </row>
    <row r="77" spans="1:6" x14ac:dyDescent="0.2">
      <c r="A77">
        <v>13925</v>
      </c>
      <c r="B77" s="9" t="s">
        <v>247</v>
      </c>
      <c r="C77" t="str">
        <f>VLOOKUP(A77,'Base Nova'!$A$3:$C$329,3,0)</f>
        <v xml:space="preserve">Moderada </v>
      </c>
      <c r="D77" t="s">
        <v>10</v>
      </c>
      <c r="E77" t="s">
        <v>14</v>
      </c>
      <c r="F77" t="s">
        <v>274</v>
      </c>
    </row>
    <row r="78" spans="1:6" x14ac:dyDescent="0.2">
      <c r="A78">
        <v>13656</v>
      </c>
      <c r="B78" s="9" t="s">
        <v>247</v>
      </c>
      <c r="C78" t="str">
        <f>VLOOKUP(A78,'Base Nova'!$A$3:$C$329,3,0)</f>
        <v>Moderada</v>
      </c>
      <c r="D78" t="s">
        <v>24</v>
      </c>
      <c r="E78" s="77" t="s">
        <v>14</v>
      </c>
      <c r="F78" t="s">
        <v>274</v>
      </c>
    </row>
    <row r="79" spans="1:6" x14ac:dyDescent="0.2">
      <c r="A79">
        <v>13647</v>
      </c>
      <c r="B79" s="9" t="s">
        <v>247</v>
      </c>
      <c r="C79" t="str">
        <f>VLOOKUP(A79,'Base Nova'!$A$3:$C$329,3,0)</f>
        <v xml:space="preserve">Moderada </v>
      </c>
      <c r="D79" t="s">
        <v>10</v>
      </c>
      <c r="E79" s="77" t="s">
        <v>14</v>
      </c>
      <c r="F79" t="s">
        <v>274</v>
      </c>
    </row>
    <row r="80" spans="1:6" x14ac:dyDescent="0.2">
      <c r="A80" s="37">
        <v>13922</v>
      </c>
      <c r="B80" s="9" t="s">
        <v>247</v>
      </c>
      <c r="C80" t="str">
        <f>VLOOKUP(A80,'Base Nova'!$A$3:$C$329,3,0)</f>
        <v>Moderada</v>
      </c>
      <c r="D80" t="s">
        <v>24</v>
      </c>
      <c r="E80" t="s">
        <v>14</v>
      </c>
      <c r="F80" t="s">
        <v>281</v>
      </c>
    </row>
    <row r="81" spans="1:6" x14ac:dyDescent="0.2">
      <c r="A81" s="37">
        <v>12332</v>
      </c>
      <c r="B81" s="9" t="s">
        <v>247</v>
      </c>
      <c r="C81" t="str">
        <f>VLOOKUP(A81,'Base Nova'!$A$3:$C$329,3,0)</f>
        <v>Offshore</v>
      </c>
      <c r="D81" t="s">
        <v>41</v>
      </c>
      <c r="E81" t="s">
        <v>17</v>
      </c>
      <c r="F81" t="s">
        <v>275</v>
      </c>
    </row>
    <row r="82" spans="1:6" x14ac:dyDescent="0.2">
      <c r="A82" s="37">
        <v>11784</v>
      </c>
      <c r="B82" s="9" t="s">
        <v>247</v>
      </c>
      <c r="C82" t="str">
        <f>VLOOKUP(A82,'Base Nova'!$A$3:$C$329,3,0)</f>
        <v>Moderada</v>
      </c>
      <c r="D82" t="s">
        <v>24</v>
      </c>
      <c r="E82" t="s">
        <v>14</v>
      </c>
      <c r="F82" t="s">
        <v>274</v>
      </c>
    </row>
    <row r="83" spans="1:6" x14ac:dyDescent="0.2">
      <c r="A83" s="37">
        <v>12172</v>
      </c>
      <c r="B83" s="9" t="s">
        <v>247</v>
      </c>
      <c r="C83" t="str">
        <f>VLOOKUP(A83,'Base Nova'!$A$3:$C$329,3,0)</f>
        <v>Offshore</v>
      </c>
      <c r="D83" t="s">
        <v>41</v>
      </c>
      <c r="E83" t="s">
        <v>17</v>
      </c>
      <c r="F83" t="s">
        <v>275</v>
      </c>
    </row>
    <row r="84" spans="1:6" x14ac:dyDescent="0.2">
      <c r="A84">
        <v>11570</v>
      </c>
      <c r="B84" s="9" t="s">
        <v>247</v>
      </c>
      <c r="C84" t="str">
        <f>VLOOKUP(A84,'Base Nova'!$A$3:$C$329,3,0)</f>
        <v>Offshore</v>
      </c>
      <c r="D84" t="s">
        <v>41</v>
      </c>
      <c r="E84" t="s">
        <v>17</v>
      </c>
      <c r="F84" t="s">
        <v>275</v>
      </c>
    </row>
    <row r="85" spans="1:6" x14ac:dyDescent="0.2">
      <c r="A85" s="37">
        <v>11938</v>
      </c>
      <c r="B85" s="9" t="s">
        <v>247</v>
      </c>
      <c r="C85" t="str">
        <f>VLOOKUP(A85,'Base Nova'!$A$3:$C$329,3,0)</f>
        <v>Agressiva</v>
      </c>
      <c r="D85" t="s">
        <v>26</v>
      </c>
      <c r="E85" t="s">
        <v>15</v>
      </c>
      <c r="F85" t="s">
        <v>282</v>
      </c>
    </row>
    <row r="86" spans="1:6" x14ac:dyDescent="0.2">
      <c r="A86" s="37">
        <v>11957</v>
      </c>
      <c r="B86" s="9" t="s">
        <v>247</v>
      </c>
      <c r="C86" t="str">
        <f>VLOOKUP(A86,'Base Nova'!$A$3:$C$329,3,0)</f>
        <v>Agressiva</v>
      </c>
      <c r="D86" t="s">
        <v>26</v>
      </c>
      <c r="E86" t="s">
        <v>15</v>
      </c>
      <c r="F86" t="s">
        <v>282</v>
      </c>
    </row>
    <row r="87" spans="1:6" x14ac:dyDescent="0.2">
      <c r="A87" s="37">
        <v>12412</v>
      </c>
      <c r="B87" s="9" t="s">
        <v>247</v>
      </c>
      <c r="C87" t="str">
        <f>VLOOKUP(A87,'Base Nova'!$A$3:$C$329,3,0)</f>
        <v>Offshore</v>
      </c>
      <c r="D87" t="s">
        <v>41</v>
      </c>
      <c r="E87" t="s">
        <v>17</v>
      </c>
      <c r="F87" t="s">
        <v>275</v>
      </c>
    </row>
    <row r="88" spans="1:6" x14ac:dyDescent="0.2">
      <c r="A88" s="37">
        <v>11947</v>
      </c>
      <c r="B88" s="9" t="s">
        <v>247</v>
      </c>
      <c r="C88" t="str">
        <f>VLOOKUP(A88,'Base Nova'!$A$3:$C$329,3,0)</f>
        <v>Agressiva</v>
      </c>
      <c r="D88" t="s">
        <v>26</v>
      </c>
      <c r="E88" t="s">
        <v>15</v>
      </c>
      <c r="F88" t="s">
        <v>282</v>
      </c>
    </row>
    <row r="89" spans="1:6" x14ac:dyDescent="0.2">
      <c r="A89" s="37">
        <v>11953</v>
      </c>
      <c r="B89" s="9" t="s">
        <v>247</v>
      </c>
      <c r="C89" t="str">
        <f>VLOOKUP(A89,'Base Nova'!$A$3:$C$329,3,0)</f>
        <v>Moderada</v>
      </c>
      <c r="D89" t="s">
        <v>24</v>
      </c>
      <c r="E89" t="s">
        <v>12</v>
      </c>
      <c r="F89" t="s">
        <v>276</v>
      </c>
    </row>
    <row r="90" spans="1:6" x14ac:dyDescent="0.2">
      <c r="A90">
        <v>13042</v>
      </c>
      <c r="B90" s="9" t="s">
        <v>247</v>
      </c>
      <c r="C90" t="str">
        <f>VLOOKUP(A90,'Base Nova'!$A$3:$C$329,3,0)</f>
        <v xml:space="preserve">Moderada </v>
      </c>
      <c r="D90" t="s">
        <v>10</v>
      </c>
      <c r="E90" s="77" t="s">
        <v>14</v>
      </c>
      <c r="F90" t="s">
        <v>274</v>
      </c>
    </row>
    <row r="91" spans="1:6" x14ac:dyDescent="0.2">
      <c r="A91">
        <v>13036</v>
      </c>
      <c r="B91" s="9" t="s">
        <v>247</v>
      </c>
      <c r="C91" t="str">
        <f>VLOOKUP(A91,'Base Nova'!$A$3:$C$329,3,0)</f>
        <v>Offshore</v>
      </c>
      <c r="D91" t="s">
        <v>41</v>
      </c>
      <c r="E91" t="s">
        <v>17</v>
      </c>
      <c r="F91" t="s">
        <v>275</v>
      </c>
    </row>
    <row r="92" spans="1:6" x14ac:dyDescent="0.2">
      <c r="A92" s="37">
        <v>11935</v>
      </c>
      <c r="B92" s="9" t="s">
        <v>247</v>
      </c>
      <c r="C92" t="str">
        <f>VLOOKUP(A92,'Base Nova'!$A$3:$C$329,3,0)</f>
        <v>Agressiva</v>
      </c>
      <c r="D92" t="s">
        <v>26</v>
      </c>
      <c r="E92" t="s">
        <v>15</v>
      </c>
      <c r="F92" t="s">
        <v>282</v>
      </c>
    </row>
    <row r="93" spans="1:6" x14ac:dyDescent="0.2">
      <c r="A93" s="37">
        <v>11947</v>
      </c>
      <c r="B93" s="9" t="s">
        <v>247</v>
      </c>
      <c r="C93" t="str">
        <f>VLOOKUP(A93,'Base Nova'!$A$3:$C$329,3,0)</f>
        <v>Agressiva</v>
      </c>
      <c r="D93" t="s">
        <v>26</v>
      </c>
      <c r="E93" t="s">
        <v>15</v>
      </c>
      <c r="F93" t="s">
        <v>282</v>
      </c>
    </row>
    <row r="94" spans="1:6" x14ac:dyDescent="0.2">
      <c r="A94" s="37">
        <v>11953</v>
      </c>
      <c r="B94" s="9" t="s">
        <v>247</v>
      </c>
      <c r="C94" t="str">
        <f>VLOOKUP(A94,'Base Nova'!$A$3:$C$329,3,0)</f>
        <v>Moderada</v>
      </c>
      <c r="D94" t="s">
        <v>24</v>
      </c>
      <c r="E94" t="s">
        <v>12</v>
      </c>
      <c r="F94" t="s">
        <v>276</v>
      </c>
    </row>
    <row r="95" spans="1:6" x14ac:dyDescent="0.2">
      <c r="A95">
        <v>12272</v>
      </c>
      <c r="B95" s="9" t="s">
        <v>247</v>
      </c>
      <c r="C95" t="str">
        <f>VLOOKUP(A95,'Base Nova'!$A$3:$C$329,3,0)</f>
        <v>Conservadora</v>
      </c>
      <c r="D95" t="s">
        <v>25</v>
      </c>
      <c r="E95" s="80" t="s">
        <v>13</v>
      </c>
      <c r="F95" t="s">
        <v>279</v>
      </c>
    </row>
    <row r="96" spans="1:6" x14ac:dyDescent="0.2">
      <c r="A96">
        <v>14532</v>
      </c>
      <c r="B96" s="9" t="s">
        <v>247</v>
      </c>
      <c r="C96" t="str">
        <f>VLOOKUP(A96,'Base Nova'!$A$3:$C$329,3,0)</f>
        <v xml:space="preserve">Moderada </v>
      </c>
      <c r="D96" t="s">
        <v>10</v>
      </c>
      <c r="E96" s="80" t="s">
        <v>14</v>
      </c>
      <c r="F96" t="s">
        <v>274</v>
      </c>
    </row>
    <row r="97" spans="1:6" x14ac:dyDescent="0.2">
      <c r="A97">
        <v>13879</v>
      </c>
      <c r="B97" s="9" t="s">
        <v>247</v>
      </c>
      <c r="C97" t="str">
        <f>VLOOKUP(A97,'Base Nova'!$A$3:$C$329,3,0)</f>
        <v>Offshore</v>
      </c>
      <c r="D97" t="s">
        <v>41</v>
      </c>
      <c r="E97" t="s">
        <v>17</v>
      </c>
      <c r="F97" t="s">
        <v>275</v>
      </c>
    </row>
    <row r="98" spans="1:6" x14ac:dyDescent="0.2">
      <c r="A98">
        <v>11434</v>
      </c>
      <c r="B98" s="9" t="s">
        <v>247</v>
      </c>
      <c r="C98" t="str">
        <f>VLOOKUP(A98,'Base Nova'!$A$3:$C$329,3,0)</f>
        <v xml:space="preserve">Moderada </v>
      </c>
      <c r="D98" t="s">
        <v>10</v>
      </c>
      <c r="E98" s="77" t="s">
        <v>14</v>
      </c>
      <c r="F98" t="s">
        <v>274</v>
      </c>
    </row>
    <row r="99" spans="1:6" x14ac:dyDescent="0.2">
      <c r="A99">
        <v>12392</v>
      </c>
      <c r="B99" s="9" t="s">
        <v>247</v>
      </c>
      <c r="C99" t="str">
        <f>VLOOKUP(A99,'Base Nova'!$A$3:$C$329,3,0)</f>
        <v xml:space="preserve">Moderada </v>
      </c>
      <c r="D99" t="s">
        <v>10</v>
      </c>
      <c r="E99" s="77" t="s">
        <v>14</v>
      </c>
      <c r="F99" t="s">
        <v>274</v>
      </c>
    </row>
    <row r="100" spans="1:6" x14ac:dyDescent="0.2">
      <c r="A100">
        <v>13663</v>
      </c>
      <c r="B100" s="9" t="s">
        <v>247</v>
      </c>
      <c r="C100" t="str">
        <f>VLOOKUP(A100,'Base Nova'!$A$3:$C$329,3,0)</f>
        <v>Moderada</v>
      </c>
      <c r="D100" t="s">
        <v>24</v>
      </c>
      <c r="E100" s="77" t="s">
        <v>14</v>
      </c>
      <c r="F100" t="s">
        <v>274</v>
      </c>
    </row>
    <row r="101" spans="1:6" x14ac:dyDescent="0.2">
      <c r="A101">
        <v>12315</v>
      </c>
      <c r="B101" s="9" t="s">
        <v>247</v>
      </c>
      <c r="C101" t="str">
        <f>VLOOKUP(A101,'Base Nova'!$A$3:$C$329,3,0)</f>
        <v>Agressiva</v>
      </c>
      <c r="D101" t="s">
        <v>26</v>
      </c>
      <c r="E101" s="77" t="s">
        <v>15</v>
      </c>
      <c r="F101" t="s">
        <v>282</v>
      </c>
    </row>
    <row r="102" spans="1:6" x14ac:dyDescent="0.2">
      <c r="A102">
        <v>11979</v>
      </c>
      <c r="B102" s="9" t="s">
        <v>247</v>
      </c>
      <c r="C102" t="str">
        <f>VLOOKUP(A102,'Base Nova'!$A$3:$C$329,3,0)</f>
        <v>Agressiva</v>
      </c>
      <c r="D102" t="s">
        <v>26</v>
      </c>
      <c r="E102" s="82" t="s">
        <v>42</v>
      </c>
      <c r="F102" t="s">
        <v>277</v>
      </c>
    </row>
    <row r="103" spans="1:6" x14ac:dyDescent="0.2">
      <c r="A103" s="75">
        <v>13578</v>
      </c>
      <c r="B103" s="9" t="s">
        <v>247</v>
      </c>
      <c r="C103" t="str">
        <f>VLOOKUP(A103,'Base Nova'!$A$3:$C$329,3,0)</f>
        <v>Moderada</v>
      </c>
      <c r="D103" t="s">
        <v>24</v>
      </c>
      <c r="E103" t="s">
        <v>14</v>
      </c>
      <c r="F103" t="s">
        <v>274</v>
      </c>
    </row>
    <row r="104" spans="1:6" x14ac:dyDescent="0.2">
      <c r="A104" s="37">
        <v>12162</v>
      </c>
      <c r="B104" s="9" t="s">
        <v>247</v>
      </c>
      <c r="C104" t="str">
        <f>VLOOKUP(A104,'Base Nova'!$A$3:$C$329,3,0)</f>
        <v>Offshore</v>
      </c>
      <c r="D104" t="s">
        <v>41</v>
      </c>
      <c r="E104" t="s">
        <v>17</v>
      </c>
      <c r="F104" t="s">
        <v>275</v>
      </c>
    </row>
    <row r="105" spans="1:6" x14ac:dyDescent="0.2">
      <c r="A105">
        <v>12462</v>
      </c>
      <c r="B105" s="9" t="s">
        <v>247</v>
      </c>
      <c r="C105" t="str">
        <f>VLOOKUP(A105,'Base Nova'!$A$3:$C$329,3,0)</f>
        <v>Conservadora</v>
      </c>
      <c r="D105" t="s">
        <v>25</v>
      </c>
      <c r="E105" t="s">
        <v>13</v>
      </c>
      <c r="F105" t="s">
        <v>279</v>
      </c>
    </row>
    <row r="106" spans="1:6" x14ac:dyDescent="0.2">
      <c r="A106">
        <v>11497</v>
      </c>
      <c r="B106" s="9" t="s">
        <v>247</v>
      </c>
      <c r="C106" t="str">
        <f>VLOOKUP(A106,'Base Nova'!$A$3:$C$329,3,0)</f>
        <v xml:space="preserve">Moderada </v>
      </c>
      <c r="D106" t="s">
        <v>10</v>
      </c>
      <c r="E106" s="77" t="s">
        <v>14</v>
      </c>
      <c r="F106" t="s">
        <v>274</v>
      </c>
    </row>
    <row r="107" spans="1:6" x14ac:dyDescent="0.2">
      <c r="A107">
        <v>13862</v>
      </c>
      <c r="B107" s="9" t="s">
        <v>247</v>
      </c>
      <c r="C107" t="str">
        <f>VLOOKUP(A107,'Base Nova'!$A$3:$C$329,3,0)</f>
        <v>Moderada</v>
      </c>
      <c r="D107" t="s">
        <v>24</v>
      </c>
      <c r="E107" t="s">
        <v>14</v>
      </c>
      <c r="F107" t="s">
        <v>274</v>
      </c>
    </row>
    <row r="108" spans="1:6" x14ac:dyDescent="0.2">
      <c r="A108">
        <v>13868</v>
      </c>
      <c r="B108" s="9" t="s">
        <v>247</v>
      </c>
      <c r="C108" t="str">
        <f>VLOOKUP(A108,'Base Nova'!$A$3:$C$329,3,0)</f>
        <v>Conservadora</v>
      </c>
      <c r="D108" t="s">
        <v>25</v>
      </c>
      <c r="E108" t="s">
        <v>12</v>
      </c>
      <c r="F108" t="s">
        <v>280</v>
      </c>
    </row>
    <row r="109" spans="1:6" x14ac:dyDescent="0.2">
      <c r="A109">
        <v>13865</v>
      </c>
      <c r="B109" s="9" t="s">
        <v>247</v>
      </c>
      <c r="C109" t="str">
        <f>VLOOKUP(A109,'Base Nova'!$A$3:$C$329,3,0)</f>
        <v>Conservadora</v>
      </c>
      <c r="D109" t="s">
        <v>25</v>
      </c>
      <c r="E109" t="s">
        <v>12</v>
      </c>
      <c r="F109" t="s">
        <v>280</v>
      </c>
    </row>
    <row r="110" spans="1:6" x14ac:dyDescent="0.2">
      <c r="A110">
        <v>11892</v>
      </c>
      <c r="B110" s="9" t="s">
        <v>247</v>
      </c>
      <c r="C110" t="str">
        <f>VLOOKUP(A110,'Base Nova'!$A$3:$C$329,3,0)</f>
        <v>Moderada</v>
      </c>
      <c r="D110" t="s">
        <v>24</v>
      </c>
      <c r="E110" s="77" t="s">
        <v>14</v>
      </c>
      <c r="F110" t="s">
        <v>274</v>
      </c>
    </row>
    <row r="111" spans="1:6" x14ac:dyDescent="0.2">
      <c r="A111">
        <v>11895</v>
      </c>
      <c r="B111" s="9" t="s">
        <v>247</v>
      </c>
      <c r="C111" t="str">
        <f>VLOOKUP(A111,'Base Nova'!$A$3:$C$329,3,0)</f>
        <v>Agressiva</v>
      </c>
      <c r="D111" t="s">
        <v>26</v>
      </c>
      <c r="E111" s="82" t="s">
        <v>42</v>
      </c>
      <c r="F111" t="s">
        <v>277</v>
      </c>
    </row>
    <row r="112" spans="1:6" x14ac:dyDescent="0.2">
      <c r="A112">
        <v>11898</v>
      </c>
      <c r="B112" s="9" t="s">
        <v>247</v>
      </c>
      <c r="C112" t="str">
        <f>VLOOKUP(A112,'Base Nova'!$A$3:$C$329,3,0)</f>
        <v>Offshore</v>
      </c>
      <c r="D112" t="s">
        <v>41</v>
      </c>
      <c r="E112" t="s">
        <v>17</v>
      </c>
      <c r="F112" t="s">
        <v>275</v>
      </c>
    </row>
    <row r="113" spans="1:6" x14ac:dyDescent="0.2">
      <c r="A113" s="37">
        <v>13850</v>
      </c>
      <c r="B113" s="9" t="s">
        <v>247</v>
      </c>
      <c r="C113" t="str">
        <f>VLOOKUP(A113,'Base Nova'!$A$3:$C$329,3,0)</f>
        <v>Moderada</v>
      </c>
      <c r="D113" t="s">
        <v>24</v>
      </c>
      <c r="E113" t="s">
        <v>14</v>
      </c>
      <c r="F113" t="s">
        <v>281</v>
      </c>
    </row>
    <row r="114" spans="1:6" x14ac:dyDescent="0.2">
      <c r="A114" s="37">
        <v>12308</v>
      </c>
      <c r="B114" s="9" t="s">
        <v>247</v>
      </c>
      <c r="C114" t="str">
        <f>VLOOKUP(A114,'Base Nova'!$A$3:$C$329,3,0)</f>
        <v>Moderada</v>
      </c>
      <c r="D114" t="s">
        <v>24</v>
      </c>
      <c r="E114" t="s">
        <v>14</v>
      </c>
      <c r="F114" t="s">
        <v>281</v>
      </c>
    </row>
    <row r="115" spans="1:6" x14ac:dyDescent="0.2">
      <c r="A115" s="37">
        <v>12311</v>
      </c>
      <c r="B115" s="9" t="s">
        <v>247</v>
      </c>
      <c r="C115" t="str">
        <f>VLOOKUP(A115,'Base Nova'!$A$3:$C$329,3,0)</f>
        <v>Moderada</v>
      </c>
      <c r="D115" t="s">
        <v>24</v>
      </c>
      <c r="E115" t="s">
        <v>14</v>
      </c>
      <c r="F115" t="s">
        <v>281</v>
      </c>
    </row>
    <row r="116" spans="1:6" x14ac:dyDescent="0.2">
      <c r="A116">
        <v>12866</v>
      </c>
      <c r="B116" s="9" t="s">
        <v>247</v>
      </c>
      <c r="C116" t="str">
        <f>VLOOKUP(A116,'Base Nova'!$A$3:$C$329,3,0)</f>
        <v>Conservadora</v>
      </c>
      <c r="D116" t="s">
        <v>25</v>
      </c>
      <c r="E116" t="s">
        <v>13</v>
      </c>
      <c r="F116" t="s">
        <v>279</v>
      </c>
    </row>
    <row r="117" spans="1:6" x14ac:dyDescent="0.2">
      <c r="A117">
        <v>13938</v>
      </c>
      <c r="B117" s="9" t="s">
        <v>247</v>
      </c>
      <c r="C117" t="str">
        <f>VLOOKUP(A117,'Base Nova'!$A$3:$C$329,3,0)</f>
        <v>Moderada</v>
      </c>
      <c r="D117" t="s">
        <v>24</v>
      </c>
      <c r="E117" s="77" t="s">
        <v>14</v>
      </c>
      <c r="F117" t="s">
        <v>274</v>
      </c>
    </row>
    <row r="118" spans="1:6" x14ac:dyDescent="0.2">
      <c r="A118">
        <v>11399</v>
      </c>
      <c r="B118" s="9" t="s">
        <v>247</v>
      </c>
      <c r="C118" t="str">
        <f>VLOOKUP(A118,'Base Nova'!$A$3:$C$329,3,0)</f>
        <v>Moderada</v>
      </c>
      <c r="D118" t="s">
        <v>24</v>
      </c>
      <c r="E118" t="s">
        <v>14</v>
      </c>
      <c r="F118" t="s">
        <v>274</v>
      </c>
    </row>
    <row r="119" spans="1:6" x14ac:dyDescent="0.2">
      <c r="A119">
        <v>12107</v>
      </c>
      <c r="B119" s="9" t="s">
        <v>247</v>
      </c>
      <c r="C119" t="str">
        <f>VLOOKUP(A119,'Base Nova'!$A$3:$C$329,3,0)</f>
        <v>Offshore</v>
      </c>
      <c r="D119" t="s">
        <v>41</v>
      </c>
      <c r="E119" t="s">
        <v>17</v>
      </c>
      <c r="F119" t="s">
        <v>275</v>
      </c>
    </row>
    <row r="120" spans="1:6" x14ac:dyDescent="0.2">
      <c r="A120">
        <v>13451</v>
      </c>
      <c r="B120" s="9" t="s">
        <v>247</v>
      </c>
      <c r="C120" t="str">
        <f>VLOOKUP(A120,'Base Nova'!$A$3:$C$329,3,0)</f>
        <v>Moderada</v>
      </c>
      <c r="D120" t="s">
        <v>24</v>
      </c>
      <c r="E120" s="77" t="s">
        <v>14</v>
      </c>
      <c r="F120" t="s">
        <v>274</v>
      </c>
    </row>
    <row r="121" spans="1:6" x14ac:dyDescent="0.2">
      <c r="A121">
        <v>11873</v>
      </c>
      <c r="B121" s="9" t="s">
        <v>247</v>
      </c>
      <c r="C121" t="str">
        <f>VLOOKUP(A121,'Base Nova'!$A$3:$C$329,3,0)</f>
        <v>Offshore</v>
      </c>
      <c r="D121" t="s">
        <v>41</v>
      </c>
      <c r="E121" t="s">
        <v>17</v>
      </c>
      <c r="F121" t="s">
        <v>275</v>
      </c>
    </row>
    <row r="122" spans="1:6" x14ac:dyDescent="0.2">
      <c r="A122" s="37">
        <v>12675</v>
      </c>
      <c r="B122" s="9" t="s">
        <v>247</v>
      </c>
      <c r="C122" t="str">
        <f>VLOOKUP(A122,'Base Nova'!$A$3:$C$329,3,0)</f>
        <v>Moderada</v>
      </c>
      <c r="D122" t="s">
        <v>24</v>
      </c>
      <c r="E122" t="s">
        <v>14</v>
      </c>
      <c r="F122" t="s">
        <v>274</v>
      </c>
    </row>
    <row r="123" spans="1:6" x14ac:dyDescent="0.2">
      <c r="A123" s="37">
        <v>13469</v>
      </c>
      <c r="B123" s="9" t="s">
        <v>247</v>
      </c>
      <c r="C123" t="str">
        <f>VLOOKUP(A123,'Base Nova'!$A$3:$C$329,3,0)</f>
        <v>Offshore</v>
      </c>
      <c r="D123" t="s">
        <v>41</v>
      </c>
      <c r="E123" t="s">
        <v>17</v>
      </c>
      <c r="F123" t="s">
        <v>275</v>
      </c>
    </row>
    <row r="124" spans="1:6" x14ac:dyDescent="0.2">
      <c r="A124" s="37">
        <v>12693</v>
      </c>
      <c r="B124" s="9" t="s">
        <v>247</v>
      </c>
      <c r="C124" t="str">
        <f>VLOOKUP(A124,'Base Nova'!$A$3:$C$329,3,0)</f>
        <v>Offshore</v>
      </c>
      <c r="D124" t="s">
        <v>41</v>
      </c>
      <c r="E124" t="s">
        <v>17</v>
      </c>
      <c r="F124" t="s">
        <v>275</v>
      </c>
    </row>
    <row r="125" spans="1:6" x14ac:dyDescent="0.2">
      <c r="A125">
        <v>12632</v>
      </c>
      <c r="B125" s="9" t="s">
        <v>247</v>
      </c>
      <c r="C125" t="str">
        <f>VLOOKUP(A125,'Base Nova'!$A$3:$C$329,3,0)</f>
        <v>Moderada</v>
      </c>
      <c r="D125" t="s">
        <v>24</v>
      </c>
      <c r="E125" t="s">
        <v>14</v>
      </c>
      <c r="F125" t="s">
        <v>274</v>
      </c>
    </row>
    <row r="126" spans="1:6" x14ac:dyDescent="0.2">
      <c r="A126">
        <v>14406</v>
      </c>
      <c r="B126" s="9" t="s">
        <v>247</v>
      </c>
      <c r="C126" t="str">
        <f>VLOOKUP(A126,'Base Nova'!$A$3:$C$329,3,0)</f>
        <v>Offshore</v>
      </c>
      <c r="D126" t="s">
        <v>41</v>
      </c>
      <c r="E126" t="s">
        <v>17</v>
      </c>
      <c r="F126" t="s">
        <v>275</v>
      </c>
    </row>
    <row r="127" spans="1:6" x14ac:dyDescent="0.2">
      <c r="A127">
        <v>12636</v>
      </c>
      <c r="B127" s="9" t="s">
        <v>247</v>
      </c>
      <c r="C127" t="str">
        <f>VLOOKUP(A127,'Base Nova'!$A$3:$C$329,3,0)</f>
        <v>Offshore</v>
      </c>
      <c r="D127" t="s">
        <v>41</v>
      </c>
      <c r="E127" t="s">
        <v>17</v>
      </c>
      <c r="F127" t="s">
        <v>275</v>
      </c>
    </row>
    <row r="128" spans="1:6" x14ac:dyDescent="0.2">
      <c r="A128">
        <v>13950</v>
      </c>
      <c r="B128" s="9" t="s">
        <v>247</v>
      </c>
      <c r="C128" t="str">
        <f>VLOOKUP(A128,'Base Nova'!$A$3:$C$329,3,0)</f>
        <v>Moderada</v>
      </c>
      <c r="D128" t="s">
        <v>24</v>
      </c>
      <c r="E128" t="s">
        <v>14</v>
      </c>
      <c r="F128" t="s">
        <v>274</v>
      </c>
    </row>
    <row r="129" spans="1:6" x14ac:dyDescent="0.2">
      <c r="A129">
        <v>11921</v>
      </c>
      <c r="B129" s="9" t="s">
        <v>247</v>
      </c>
      <c r="C129" t="str">
        <f>VLOOKUP(A129,'Base Nova'!$A$3:$C$329,3,0)</f>
        <v>Moderada</v>
      </c>
      <c r="D129" t="s">
        <v>24</v>
      </c>
      <c r="E129" t="s">
        <v>14</v>
      </c>
      <c r="F129" t="s">
        <v>274</v>
      </c>
    </row>
    <row r="130" spans="1:6" x14ac:dyDescent="0.2">
      <c r="A130">
        <v>11973</v>
      </c>
      <c r="B130" s="9" t="s">
        <v>247</v>
      </c>
      <c r="C130" t="str">
        <f>VLOOKUP(A130,'Base Nova'!$A$3:$C$329,3,0)</f>
        <v>Offshore</v>
      </c>
      <c r="D130" t="s">
        <v>41</v>
      </c>
      <c r="E130" t="s">
        <v>17</v>
      </c>
      <c r="F130" t="s">
        <v>275</v>
      </c>
    </row>
    <row r="131" spans="1:6" x14ac:dyDescent="0.2">
      <c r="A131">
        <v>12856</v>
      </c>
      <c r="B131" s="9" t="s">
        <v>247</v>
      </c>
      <c r="C131" t="str">
        <f>VLOOKUP(A131,'Base Nova'!$A$3:$C$329,3,0)</f>
        <v xml:space="preserve">Moderada </v>
      </c>
      <c r="D131" t="s">
        <v>10</v>
      </c>
      <c r="E131" t="s">
        <v>12</v>
      </c>
      <c r="F131" t="s">
        <v>276</v>
      </c>
    </row>
    <row r="132" spans="1:6" x14ac:dyDescent="0.2">
      <c r="A132">
        <v>11695</v>
      </c>
      <c r="B132" s="9" t="s">
        <v>247</v>
      </c>
      <c r="C132" t="str">
        <f>VLOOKUP(A132,'Base Nova'!$A$3:$C$329,3,0)</f>
        <v>Offshore</v>
      </c>
      <c r="D132" t="s">
        <v>41</v>
      </c>
      <c r="E132" t="s">
        <v>17</v>
      </c>
      <c r="F132" t="s">
        <v>275</v>
      </c>
    </row>
    <row r="133" spans="1:6" x14ac:dyDescent="0.2">
      <c r="A133">
        <v>13014</v>
      </c>
      <c r="B133" s="9" t="s">
        <v>247</v>
      </c>
      <c r="C133" t="str">
        <f>VLOOKUP(A133,'Base Nova'!$A$3:$C$329,3,0)</f>
        <v>Moderada</v>
      </c>
      <c r="D133" t="s">
        <v>24</v>
      </c>
      <c r="E133" t="s">
        <v>14</v>
      </c>
      <c r="F133" t="s">
        <v>274</v>
      </c>
    </row>
    <row r="134" spans="1:6" x14ac:dyDescent="0.2">
      <c r="A134" s="37">
        <v>13644</v>
      </c>
      <c r="B134" s="9" t="s">
        <v>247</v>
      </c>
      <c r="C134" t="str">
        <f>VLOOKUP(A134,'Base Nova'!$A$3:$C$329,3,0)</f>
        <v xml:space="preserve">Moderada </v>
      </c>
      <c r="D134" t="s">
        <v>24</v>
      </c>
      <c r="E134" t="s">
        <v>14</v>
      </c>
      <c r="F134" t="s">
        <v>274</v>
      </c>
    </row>
    <row r="135" spans="1:6" x14ac:dyDescent="0.2">
      <c r="A135">
        <v>13928</v>
      </c>
      <c r="B135" s="9" t="s">
        <v>247</v>
      </c>
      <c r="C135" t="str">
        <f>VLOOKUP(A135,'Base Nova'!$A$3:$C$329,3,0)</f>
        <v xml:space="preserve">Moderada </v>
      </c>
      <c r="D135" t="s">
        <v>41</v>
      </c>
      <c r="E135" t="s">
        <v>17</v>
      </c>
      <c r="F135" t="s">
        <v>275</v>
      </c>
    </row>
    <row r="136" spans="1:6" x14ac:dyDescent="0.2">
      <c r="A136">
        <v>12076</v>
      </c>
      <c r="B136" s="9" t="s">
        <v>247</v>
      </c>
      <c r="C136" t="str">
        <f>VLOOKUP(A136,'Base Nova'!$A$3:$C$329,3,0)</f>
        <v>Moderada</v>
      </c>
      <c r="D136" t="s">
        <v>24</v>
      </c>
      <c r="E136" s="77" t="s">
        <v>14</v>
      </c>
      <c r="F136" t="s">
        <v>274</v>
      </c>
    </row>
    <row r="137" spans="1:6" x14ac:dyDescent="0.2">
      <c r="A137" s="74">
        <v>14225</v>
      </c>
      <c r="B137" s="9" t="s">
        <v>247</v>
      </c>
      <c r="C137" t="str">
        <f>VLOOKUP(A137,'Base Nova'!$A$3:$C$329,3,0)</f>
        <v xml:space="preserve">Moderada </v>
      </c>
      <c r="D137" t="s">
        <v>10</v>
      </c>
      <c r="E137" t="s">
        <v>14</v>
      </c>
      <c r="F137" t="s">
        <v>274</v>
      </c>
    </row>
    <row r="138" spans="1:6" x14ac:dyDescent="0.2">
      <c r="A138">
        <v>13011</v>
      </c>
      <c r="B138" s="9" t="s">
        <v>247</v>
      </c>
      <c r="C138" t="str">
        <f>VLOOKUP(A138,'Base Nova'!$A$3:$C$329,3,0)</f>
        <v xml:space="preserve">Moderada </v>
      </c>
      <c r="D138" t="s">
        <v>10</v>
      </c>
      <c r="E138" t="s">
        <v>14</v>
      </c>
      <c r="F138" t="s">
        <v>274</v>
      </c>
    </row>
    <row r="139" spans="1:6" x14ac:dyDescent="0.2">
      <c r="A139">
        <v>12135</v>
      </c>
      <c r="B139" s="9" t="s">
        <v>247</v>
      </c>
      <c r="C139" t="str">
        <f>VLOOKUP(A139,'Base Nova'!$A$3:$C$329,3,0)</f>
        <v xml:space="preserve">Moderada </v>
      </c>
      <c r="D139" t="s">
        <v>10</v>
      </c>
      <c r="E139" s="77" t="s">
        <v>14</v>
      </c>
      <c r="F139" t="s">
        <v>274</v>
      </c>
    </row>
    <row r="140" spans="1:6" x14ac:dyDescent="0.2">
      <c r="A140">
        <v>13751</v>
      </c>
      <c r="B140" s="9" t="s">
        <v>247</v>
      </c>
      <c r="C140" t="str">
        <f>VLOOKUP(A140,'Base Nova'!$A$3:$C$329,3,0)</f>
        <v>Offshore</v>
      </c>
      <c r="D140" t="s">
        <v>41</v>
      </c>
      <c r="E140" t="s">
        <v>17</v>
      </c>
      <c r="F140" t="s">
        <v>275</v>
      </c>
    </row>
    <row r="141" spans="1:6" x14ac:dyDescent="0.2">
      <c r="A141">
        <v>11362</v>
      </c>
      <c r="B141" s="9" t="s">
        <v>247</v>
      </c>
      <c r="C141" t="str">
        <f>VLOOKUP(A141,'Base Nova'!$A$3:$C$329,3,0)</f>
        <v>Moderada</v>
      </c>
      <c r="D141" t="s">
        <v>24</v>
      </c>
      <c r="E141" s="77" t="s">
        <v>14</v>
      </c>
      <c r="F141" t="s">
        <v>274</v>
      </c>
    </row>
    <row r="142" spans="1:6" x14ac:dyDescent="0.2">
      <c r="A142">
        <v>11509</v>
      </c>
      <c r="B142" s="9" t="s">
        <v>247</v>
      </c>
      <c r="C142" t="str">
        <f>VLOOKUP(A142,'Base Nova'!$A$3:$C$329,3,0)</f>
        <v>Agressiva</v>
      </c>
      <c r="D142" t="s">
        <v>26</v>
      </c>
      <c r="E142" s="82" t="s">
        <v>42</v>
      </c>
      <c r="F142" t="s">
        <v>277</v>
      </c>
    </row>
    <row r="143" spans="1:6" x14ac:dyDescent="0.2">
      <c r="A143">
        <v>11267</v>
      </c>
      <c r="B143" s="9" t="s">
        <v>247</v>
      </c>
      <c r="C143" t="str">
        <f>VLOOKUP(A143,'Base Nova'!$A$3:$C$329,3,0)</f>
        <v>Moderada</v>
      </c>
      <c r="D143" t="s">
        <v>24</v>
      </c>
      <c r="E143" s="77" t="s">
        <v>14</v>
      </c>
      <c r="F143" t="s">
        <v>274</v>
      </c>
    </row>
    <row r="144" spans="1:6" x14ac:dyDescent="0.2">
      <c r="A144">
        <v>11749</v>
      </c>
      <c r="B144" s="9" t="s">
        <v>247</v>
      </c>
      <c r="C144" t="str">
        <f>VLOOKUP(A144,'Base Nova'!$A$3:$C$329,3,0)</f>
        <v>Moderada</v>
      </c>
      <c r="D144" t="s">
        <v>24</v>
      </c>
      <c r="E144" t="s">
        <v>14</v>
      </c>
      <c r="F144" t="s">
        <v>274</v>
      </c>
    </row>
    <row r="145" spans="1:6" x14ac:dyDescent="0.2">
      <c r="A145">
        <v>11888</v>
      </c>
      <c r="B145" s="9" t="s">
        <v>247</v>
      </c>
      <c r="C145" t="str">
        <f>VLOOKUP(A145,'Base Nova'!$A$3:$C$329,3,0)</f>
        <v>Offshore</v>
      </c>
      <c r="D145" t="s">
        <v>41</v>
      </c>
      <c r="E145" t="s">
        <v>17</v>
      </c>
      <c r="F145" t="s">
        <v>275</v>
      </c>
    </row>
    <row r="146" spans="1:6" x14ac:dyDescent="0.2">
      <c r="A146">
        <v>14234</v>
      </c>
      <c r="B146" s="9" t="s">
        <v>247</v>
      </c>
      <c r="C146" t="str">
        <f>VLOOKUP(A146,'Base Nova'!$A$3:$C$329,3,0)</f>
        <v>Offshore</v>
      </c>
      <c r="D146" t="s">
        <v>41</v>
      </c>
      <c r="E146" t="s">
        <v>17</v>
      </c>
      <c r="F146" t="s">
        <v>275</v>
      </c>
    </row>
    <row r="147" spans="1:6" x14ac:dyDescent="0.2">
      <c r="A147">
        <v>11543</v>
      </c>
      <c r="B147" s="9" t="s">
        <v>247</v>
      </c>
      <c r="C147" t="str">
        <f>VLOOKUP(A147,'Base Nova'!$A$3:$C$329,3,0)</f>
        <v xml:space="preserve">Moderada </v>
      </c>
      <c r="D147" t="s">
        <v>10</v>
      </c>
      <c r="E147" s="77" t="s">
        <v>14</v>
      </c>
      <c r="F147" t="s">
        <v>274</v>
      </c>
    </row>
    <row r="148" spans="1:6" x14ac:dyDescent="0.2">
      <c r="A148">
        <v>11430</v>
      </c>
      <c r="B148" s="9" t="s">
        <v>247</v>
      </c>
      <c r="C148" t="str">
        <f>VLOOKUP(A148,'Base Nova'!$A$3:$C$329,3,0)</f>
        <v>Offshore</v>
      </c>
      <c r="D148" t="s">
        <v>41</v>
      </c>
      <c r="E148" t="s">
        <v>17</v>
      </c>
      <c r="F148" t="s">
        <v>275</v>
      </c>
    </row>
    <row r="149" spans="1:6" x14ac:dyDescent="0.2">
      <c r="A149">
        <v>11755</v>
      </c>
      <c r="B149" s="9" t="s">
        <v>247</v>
      </c>
      <c r="C149" t="str">
        <f>VLOOKUP(A149,'Base Nova'!$A$3:$C$329,3,0)</f>
        <v xml:space="preserve">Moderada </v>
      </c>
      <c r="D149" t="s">
        <v>10</v>
      </c>
      <c r="E149" s="83" t="s">
        <v>16</v>
      </c>
      <c r="F149" t="s">
        <v>283</v>
      </c>
    </row>
    <row r="150" spans="1:6" x14ac:dyDescent="0.2">
      <c r="A150">
        <v>12097</v>
      </c>
      <c r="B150" s="9" t="s">
        <v>247</v>
      </c>
      <c r="C150" t="str">
        <f>VLOOKUP(A150,'Base Nova'!$A$3:$C$329,3,0)</f>
        <v xml:space="preserve">Moderada </v>
      </c>
      <c r="D150" t="s">
        <v>10</v>
      </c>
      <c r="E150" s="83" t="s">
        <v>12</v>
      </c>
      <c r="F150" t="s">
        <v>276</v>
      </c>
    </row>
    <row r="151" spans="1:6" x14ac:dyDescent="0.2">
      <c r="A151">
        <v>12363</v>
      </c>
      <c r="B151" s="9" t="s">
        <v>247</v>
      </c>
      <c r="C151" t="str">
        <f>VLOOKUP(A151,'Base Nova'!$A$3:$C$329,3,0)</f>
        <v>Offshore</v>
      </c>
      <c r="D151" t="s">
        <v>41</v>
      </c>
      <c r="E151" t="s">
        <v>17</v>
      </c>
      <c r="F151" t="s">
        <v>275</v>
      </c>
    </row>
    <row r="152" spans="1:6" x14ac:dyDescent="0.2">
      <c r="A152" s="74">
        <v>14285</v>
      </c>
      <c r="B152" s="9" t="s">
        <v>247</v>
      </c>
      <c r="C152" t="str">
        <f>VLOOKUP(A152,'Base Nova'!$A$3:$C$329,3,0)</f>
        <v xml:space="preserve">Moderada </v>
      </c>
      <c r="D152" t="s">
        <v>10</v>
      </c>
      <c r="E152" t="s">
        <v>14</v>
      </c>
      <c r="F152" t="s">
        <v>274</v>
      </c>
    </row>
    <row r="153" spans="1:6" x14ac:dyDescent="0.2">
      <c r="A153" s="74">
        <v>14336</v>
      </c>
      <c r="B153" s="9" t="s">
        <v>247</v>
      </c>
      <c r="C153" t="str">
        <f>VLOOKUP(A153,'Base Nova'!$A$3:$C$329,3,0)</f>
        <v xml:space="preserve">Moderada </v>
      </c>
      <c r="D153" t="s">
        <v>10</v>
      </c>
      <c r="E153" t="s">
        <v>14</v>
      </c>
      <c r="F153" t="s">
        <v>274</v>
      </c>
    </row>
    <row r="154" spans="1:6" x14ac:dyDescent="0.2">
      <c r="A154" s="74">
        <v>14436</v>
      </c>
      <c r="B154" s="9" t="s">
        <v>247</v>
      </c>
      <c r="C154" t="str">
        <f>VLOOKUP(A154,'Base Nova'!$A$3:$C$329,3,0)</f>
        <v>Offshore</v>
      </c>
      <c r="D154" t="s">
        <v>41</v>
      </c>
      <c r="E154" t="s">
        <v>17</v>
      </c>
      <c r="F154" t="s">
        <v>275</v>
      </c>
    </row>
    <row r="155" spans="1:6" x14ac:dyDescent="0.2">
      <c r="A155">
        <v>11832</v>
      </c>
      <c r="B155" s="9" t="s">
        <v>247</v>
      </c>
      <c r="C155" t="str">
        <f>VLOOKUP(A155,'Base Nova'!$A$3:$C$329,3,0)</f>
        <v xml:space="preserve">Moderada </v>
      </c>
      <c r="D155" t="s">
        <v>10</v>
      </c>
      <c r="E155" s="77" t="s">
        <v>14</v>
      </c>
      <c r="F155" t="s">
        <v>274</v>
      </c>
    </row>
    <row r="156" spans="1:6" x14ac:dyDescent="0.2">
      <c r="A156">
        <v>13769</v>
      </c>
      <c r="B156" s="9" t="s">
        <v>247</v>
      </c>
      <c r="C156" t="str">
        <f>VLOOKUP(A156,'Base Nova'!$A$3:$C$329,3,0)</f>
        <v>Offshore</v>
      </c>
      <c r="D156" t="s">
        <v>41</v>
      </c>
      <c r="E156" t="s">
        <v>17</v>
      </c>
      <c r="F156" t="s">
        <v>275</v>
      </c>
    </row>
    <row r="157" spans="1:6" x14ac:dyDescent="0.2">
      <c r="A157" s="37">
        <v>11728</v>
      </c>
      <c r="B157" s="9" t="s">
        <v>247</v>
      </c>
      <c r="C157" t="str">
        <f>VLOOKUP(A157,'Base Nova'!$A$3:$C$329,3,0)</f>
        <v>Moderada</v>
      </c>
      <c r="D157" t="s">
        <v>24</v>
      </c>
      <c r="E157" t="s">
        <v>12</v>
      </c>
      <c r="F157" t="s">
        <v>276</v>
      </c>
    </row>
    <row r="158" spans="1:6" x14ac:dyDescent="0.2">
      <c r="A158" s="37">
        <v>13796</v>
      </c>
      <c r="B158" s="9" t="s">
        <v>247</v>
      </c>
      <c r="C158" t="str">
        <f>VLOOKUP(A158,'Base Nova'!$A$3:$C$329,3,0)</f>
        <v>Moderada</v>
      </c>
      <c r="D158" t="s">
        <v>24</v>
      </c>
      <c r="E158" t="s">
        <v>12</v>
      </c>
      <c r="F158" t="s">
        <v>276</v>
      </c>
    </row>
    <row r="159" spans="1:6" x14ac:dyDescent="0.2">
      <c r="A159" s="74">
        <v>14252</v>
      </c>
      <c r="B159" s="9" t="s">
        <v>247</v>
      </c>
      <c r="C159" t="str">
        <f>VLOOKUP(A159,'Base Nova'!$A$3:$C$329,3,0)</f>
        <v xml:space="preserve">Moderada </v>
      </c>
      <c r="D159" t="s">
        <v>10</v>
      </c>
      <c r="E159" t="s">
        <v>14</v>
      </c>
      <c r="F159" t="s">
        <v>274</v>
      </c>
    </row>
    <row r="160" spans="1:6" x14ac:dyDescent="0.2">
      <c r="A160">
        <v>12004</v>
      </c>
      <c r="B160" s="9" t="s">
        <v>247</v>
      </c>
      <c r="C160" t="str">
        <f>VLOOKUP(A160,'Base Nova'!$A$3:$C$329,3,0)</f>
        <v>Moderada</v>
      </c>
      <c r="D160" t="s">
        <v>24</v>
      </c>
      <c r="E160" t="s">
        <v>14</v>
      </c>
      <c r="F160" t="s">
        <v>274</v>
      </c>
    </row>
    <row r="161" spans="1:6" x14ac:dyDescent="0.2">
      <c r="A161">
        <v>11998</v>
      </c>
      <c r="B161" s="9" t="s">
        <v>247</v>
      </c>
      <c r="C161" t="str">
        <f>VLOOKUP(A161,'Base Nova'!$A$3:$C$329,3,0)</f>
        <v>Offshore</v>
      </c>
      <c r="D161" t="s">
        <v>41</v>
      </c>
      <c r="E161" t="s">
        <v>17</v>
      </c>
      <c r="F161" t="s">
        <v>275</v>
      </c>
    </row>
    <row r="162" spans="1:6" x14ac:dyDescent="0.2">
      <c r="A162">
        <v>12449</v>
      </c>
      <c r="B162" s="9" t="s">
        <v>247</v>
      </c>
      <c r="C162" t="str">
        <f>VLOOKUP(A162,'Base Nova'!$A$3:$C$329,3,0)</f>
        <v>Moderada</v>
      </c>
      <c r="D162" t="s">
        <v>24</v>
      </c>
      <c r="E162" s="77" t="s">
        <v>14</v>
      </c>
      <c r="F162" t="s">
        <v>274</v>
      </c>
    </row>
    <row r="163" spans="1:6" x14ac:dyDescent="0.2">
      <c r="A163">
        <v>12388</v>
      </c>
      <c r="B163" s="9" t="s">
        <v>247</v>
      </c>
      <c r="C163" t="str">
        <f>VLOOKUP(A163,'Base Nova'!$A$3:$C$329,3,0)</f>
        <v xml:space="preserve">Moderada </v>
      </c>
      <c r="D163" t="s">
        <v>10</v>
      </c>
      <c r="E163" s="77" t="s">
        <v>14</v>
      </c>
      <c r="F163" t="s">
        <v>274</v>
      </c>
    </row>
    <row r="164" spans="1:6" x14ac:dyDescent="0.2">
      <c r="A164">
        <v>12477</v>
      </c>
      <c r="B164" s="9" t="s">
        <v>247</v>
      </c>
      <c r="C164" t="str">
        <f>VLOOKUP(A164,'Base Nova'!$A$3:$C$329,3,0)</f>
        <v>Offshore</v>
      </c>
      <c r="D164" t="s">
        <v>41</v>
      </c>
      <c r="E164" s="77" t="s">
        <v>17</v>
      </c>
      <c r="F164" t="s">
        <v>275</v>
      </c>
    </row>
    <row r="165" spans="1:6" x14ac:dyDescent="0.2">
      <c r="A165" s="37">
        <v>12876</v>
      </c>
      <c r="B165" s="9" t="s">
        <v>247</v>
      </c>
      <c r="C165" t="str">
        <f>VLOOKUP(A165,'Base Nova'!$A$3:$C$329,3,0)</f>
        <v>Moderada</v>
      </c>
      <c r="D165" t="s">
        <v>24</v>
      </c>
      <c r="E165" t="s">
        <v>49</v>
      </c>
      <c r="F165" t="s">
        <v>281</v>
      </c>
    </row>
    <row r="166" spans="1:6" x14ac:dyDescent="0.2">
      <c r="A166" s="37">
        <v>13438</v>
      </c>
      <c r="B166" s="9" t="s">
        <v>247</v>
      </c>
      <c r="C166" t="str">
        <f>VLOOKUP(A166,'Base Nova'!$A$3:$C$329,3,0)</f>
        <v>Offshore</v>
      </c>
      <c r="D166" t="s">
        <v>41</v>
      </c>
      <c r="E166" t="s">
        <v>17</v>
      </c>
      <c r="F166" t="s">
        <v>275</v>
      </c>
    </row>
    <row r="167" spans="1:6" x14ac:dyDescent="0.2">
      <c r="A167" s="37">
        <v>12879</v>
      </c>
      <c r="B167" s="9" t="s">
        <v>247</v>
      </c>
      <c r="C167" t="str">
        <f>VLOOKUP(A167,'Base Nova'!$A$3:$C$329,3,0)</f>
        <v>Moderada</v>
      </c>
      <c r="D167" t="s">
        <v>24</v>
      </c>
      <c r="E167" t="s">
        <v>14</v>
      </c>
      <c r="F167" t="s">
        <v>274</v>
      </c>
    </row>
    <row r="168" spans="1:6" x14ac:dyDescent="0.2">
      <c r="A168">
        <v>11630</v>
      </c>
      <c r="B168" s="9" t="s">
        <v>247</v>
      </c>
      <c r="C168" t="str">
        <f>VLOOKUP(A168,'Base Nova'!$A$3:$C$329,3,0)</f>
        <v>Moderada</v>
      </c>
      <c r="D168" t="s">
        <v>24</v>
      </c>
      <c r="E168" s="77" t="s">
        <v>14</v>
      </c>
      <c r="F168" t="s">
        <v>274</v>
      </c>
    </row>
    <row r="169" spans="1:6" x14ac:dyDescent="0.2">
      <c r="A169">
        <v>14218</v>
      </c>
      <c r="B169" s="9" t="s">
        <v>247</v>
      </c>
      <c r="C169" t="str">
        <f>VLOOKUP(A169,'Base Nova'!$A$3:$C$329,3,0)</f>
        <v>Moderada</v>
      </c>
      <c r="D169" t="s">
        <v>24</v>
      </c>
      <c r="E169" s="77" t="s">
        <v>14</v>
      </c>
      <c r="F169" t="s">
        <v>274</v>
      </c>
    </row>
    <row r="170" spans="1:6" x14ac:dyDescent="0.2">
      <c r="A170">
        <v>12488</v>
      </c>
      <c r="B170" s="9" t="s">
        <v>247</v>
      </c>
      <c r="C170" t="str">
        <f>VLOOKUP(A170,'Base Nova'!$A$3:$C$329,3,0)</f>
        <v>Moderada</v>
      </c>
      <c r="D170" t="s">
        <v>24</v>
      </c>
      <c r="E170" s="77" t="s">
        <v>14</v>
      </c>
      <c r="F170" t="s">
        <v>274</v>
      </c>
    </row>
    <row r="171" spans="1:6" x14ac:dyDescent="0.2">
      <c r="A171">
        <v>13363</v>
      </c>
      <c r="B171" s="9" t="s">
        <v>247</v>
      </c>
      <c r="C171" t="str">
        <f>VLOOKUP(A171,'Base Nova'!$A$3:$C$329,3,0)</f>
        <v xml:space="preserve">Moderada </v>
      </c>
      <c r="D171" t="s">
        <v>10</v>
      </c>
      <c r="E171" t="s">
        <v>14</v>
      </c>
      <c r="F171" t="s">
        <v>274</v>
      </c>
    </row>
    <row r="172" spans="1:6" x14ac:dyDescent="0.2">
      <c r="A172">
        <v>12910</v>
      </c>
      <c r="B172" s="9" t="s">
        <v>247</v>
      </c>
      <c r="C172" t="str">
        <f>VLOOKUP(A172,'Base Nova'!$A$3:$C$329,3,0)</f>
        <v>Offshore</v>
      </c>
      <c r="D172" t="s">
        <v>41</v>
      </c>
      <c r="E172" t="s">
        <v>17</v>
      </c>
      <c r="F172" t="s">
        <v>275</v>
      </c>
    </row>
    <row r="173" spans="1:6" x14ac:dyDescent="0.2">
      <c r="A173" s="37">
        <v>13805</v>
      </c>
      <c r="B173" s="9" t="s">
        <v>247</v>
      </c>
      <c r="C173" t="str">
        <f>VLOOKUP(A173,'Base Nova'!$A$3:$C$329,3,0)</f>
        <v xml:space="preserve">Moderada </v>
      </c>
      <c r="D173" t="s">
        <v>10</v>
      </c>
      <c r="E173" t="s">
        <v>14</v>
      </c>
      <c r="F173" t="s">
        <v>274</v>
      </c>
    </row>
    <row r="174" spans="1:6" x14ac:dyDescent="0.2">
      <c r="A174">
        <v>13934</v>
      </c>
      <c r="B174" s="9" t="s">
        <v>247</v>
      </c>
      <c r="C174" t="str">
        <f>VLOOKUP(A174,'Base Nova'!$A$3:$C$329,3,0)</f>
        <v>Moderada</v>
      </c>
      <c r="D174" t="s">
        <v>24</v>
      </c>
      <c r="E174" t="s">
        <v>14</v>
      </c>
      <c r="F174" t="s">
        <v>274</v>
      </c>
    </row>
    <row r="175" spans="1:6" x14ac:dyDescent="0.2">
      <c r="A175">
        <v>14409</v>
      </c>
      <c r="B175" s="9" t="s">
        <v>247</v>
      </c>
      <c r="C175" t="str">
        <f>VLOOKUP(A175,'Base Nova'!$A$3:$C$329,3,0)</f>
        <v>Offshore</v>
      </c>
      <c r="D175" t="s">
        <v>41</v>
      </c>
      <c r="E175" t="s">
        <v>17</v>
      </c>
      <c r="F175" t="s">
        <v>275</v>
      </c>
    </row>
    <row r="176" spans="1:6" x14ac:dyDescent="0.2">
      <c r="A176">
        <v>12079</v>
      </c>
      <c r="B176" s="9" t="s">
        <v>247</v>
      </c>
      <c r="C176" t="str">
        <f>VLOOKUP(A176,'Base Nova'!$A$3:$C$329,3,0)</f>
        <v>Moderada</v>
      </c>
      <c r="D176" t="s">
        <v>24</v>
      </c>
      <c r="E176" s="77" t="s">
        <v>14</v>
      </c>
      <c r="F176" t="s">
        <v>274</v>
      </c>
    </row>
    <row r="177" spans="1:6" x14ac:dyDescent="0.2">
      <c r="A177">
        <v>11403</v>
      </c>
      <c r="B177" s="9" t="s">
        <v>247</v>
      </c>
      <c r="C177" t="str">
        <f>VLOOKUP(A177,'Base Nova'!$A$3:$C$329,3,0)</f>
        <v>Moderada</v>
      </c>
      <c r="D177" t="s">
        <v>24</v>
      </c>
      <c r="E177" t="s">
        <v>14</v>
      </c>
      <c r="F177" t="s">
        <v>274</v>
      </c>
    </row>
    <row r="178" spans="1:6" x14ac:dyDescent="0.2">
      <c r="A178">
        <v>12556</v>
      </c>
      <c r="B178" s="9" t="s">
        <v>247</v>
      </c>
      <c r="C178" t="str">
        <f>VLOOKUP(A178,'Base Nova'!$A$3:$C$329,3,0)</f>
        <v>Moderada</v>
      </c>
      <c r="D178" t="s">
        <v>24</v>
      </c>
      <c r="E178" t="s">
        <v>14</v>
      </c>
      <c r="F178" t="s">
        <v>274</v>
      </c>
    </row>
    <row r="179" spans="1:6" x14ac:dyDescent="0.2">
      <c r="A179">
        <v>13888</v>
      </c>
      <c r="B179" s="9" t="s">
        <v>247</v>
      </c>
      <c r="C179" t="str">
        <f>VLOOKUP(A179,'Base Nova'!$A$3:$C$329,3,0)</f>
        <v>Offshore</v>
      </c>
      <c r="D179" t="s">
        <v>41</v>
      </c>
      <c r="E179" t="s">
        <v>17</v>
      </c>
      <c r="F179" t="s">
        <v>275</v>
      </c>
    </row>
    <row r="180" spans="1:6" x14ac:dyDescent="0.2">
      <c r="A180">
        <v>12395</v>
      </c>
      <c r="B180" s="9" t="s">
        <v>247</v>
      </c>
      <c r="C180" t="str">
        <f>VLOOKUP(A180,'Base Nova'!$A$3:$C$329,3,0)</f>
        <v>Offshore</v>
      </c>
      <c r="D180" t="s">
        <v>41</v>
      </c>
      <c r="E180" t="s">
        <v>17</v>
      </c>
      <c r="F180" t="s">
        <v>275</v>
      </c>
    </row>
    <row r="181" spans="1:6" x14ac:dyDescent="0.2">
      <c r="A181">
        <v>13690</v>
      </c>
      <c r="B181" s="9" t="s">
        <v>247</v>
      </c>
      <c r="C181" t="str">
        <f>VLOOKUP(A181,'Base Nova'!$A$3:$C$329,3,0)</f>
        <v>Conservadora</v>
      </c>
      <c r="D181" t="s">
        <v>25</v>
      </c>
      <c r="E181" s="83" t="s">
        <v>14</v>
      </c>
      <c r="F181" t="s">
        <v>279</v>
      </c>
    </row>
    <row r="182" spans="1:6" x14ac:dyDescent="0.2">
      <c r="A182">
        <v>13790</v>
      </c>
      <c r="B182" s="9" t="s">
        <v>247</v>
      </c>
      <c r="C182" t="str">
        <f>VLOOKUP(A182,'Base Nova'!$A$3:$C$329,3,0)</f>
        <v>Offshore</v>
      </c>
      <c r="D182" t="s">
        <v>41</v>
      </c>
      <c r="E182" t="s">
        <v>17</v>
      </c>
      <c r="F182" t="s">
        <v>275</v>
      </c>
    </row>
    <row r="183" spans="1:6" x14ac:dyDescent="0.2">
      <c r="A183" s="37">
        <v>12283</v>
      </c>
      <c r="B183" s="9" t="s">
        <v>247</v>
      </c>
      <c r="C183" t="str">
        <f>VLOOKUP(A183,'Base Nova'!$A$3:$C$329,3,0)</f>
        <v>Moderada</v>
      </c>
      <c r="D183" t="s">
        <v>24</v>
      </c>
      <c r="E183" t="s">
        <v>14</v>
      </c>
      <c r="F183" t="s">
        <v>274</v>
      </c>
    </row>
    <row r="184" spans="1:6" x14ac:dyDescent="0.2">
      <c r="A184" s="37">
        <v>12269</v>
      </c>
      <c r="B184" s="9" t="s">
        <v>247</v>
      </c>
      <c r="C184" t="str">
        <f>VLOOKUP(A184,'Base Nova'!$A$3:$C$329,3,0)</f>
        <v>Moderada</v>
      </c>
      <c r="D184" t="s">
        <v>24</v>
      </c>
      <c r="E184" t="s">
        <v>14</v>
      </c>
      <c r="F184" t="s">
        <v>274</v>
      </c>
    </row>
    <row r="185" spans="1:6" x14ac:dyDescent="0.2">
      <c r="A185" s="37">
        <v>11719</v>
      </c>
      <c r="B185" s="9" t="s">
        <v>247</v>
      </c>
      <c r="C185" t="str">
        <f>VLOOKUP(A185,'Base Nova'!$A$3:$C$329,3,0)</f>
        <v>Offshore</v>
      </c>
      <c r="D185" t="s">
        <v>41</v>
      </c>
      <c r="E185" t="s">
        <v>17</v>
      </c>
      <c r="F185" t="s">
        <v>275</v>
      </c>
    </row>
    <row r="186" spans="1:6" x14ac:dyDescent="0.2">
      <c r="A186" s="37">
        <v>12420</v>
      </c>
      <c r="B186" s="9" t="s">
        <v>247</v>
      </c>
      <c r="C186" t="str">
        <f>VLOOKUP(A186,'Base Nova'!$A$3:$C$329,3,0)</f>
        <v>Moderada</v>
      </c>
      <c r="D186" t="s">
        <v>24</v>
      </c>
      <c r="E186" t="s">
        <v>14</v>
      </c>
      <c r="F186" t="s">
        <v>274</v>
      </c>
    </row>
    <row r="187" spans="1:6" x14ac:dyDescent="0.2">
      <c r="A187" s="37">
        <v>11486</v>
      </c>
      <c r="B187" s="9" t="s">
        <v>247</v>
      </c>
      <c r="C187" t="str">
        <f>VLOOKUP(A187,'Base Nova'!$A$3:$C$329,3,0)</f>
        <v>Moderada</v>
      </c>
      <c r="D187" t="s">
        <v>24</v>
      </c>
      <c r="E187" t="s">
        <v>12</v>
      </c>
      <c r="F187" t="s">
        <v>276</v>
      </c>
    </row>
    <row r="188" spans="1:6" x14ac:dyDescent="0.2">
      <c r="A188" s="37">
        <v>11902</v>
      </c>
      <c r="B188" s="9" t="s">
        <v>247</v>
      </c>
      <c r="C188" t="str">
        <f>VLOOKUP(A188,'Base Nova'!$A$3:$C$329,3,0)</f>
        <v>Offshore</v>
      </c>
      <c r="D188" t="s">
        <v>41</v>
      </c>
      <c r="E188" t="s">
        <v>17</v>
      </c>
      <c r="F188" t="s">
        <v>275</v>
      </c>
    </row>
    <row r="189" spans="1:6" x14ac:dyDescent="0.2">
      <c r="A189" s="37">
        <v>12547</v>
      </c>
      <c r="B189" s="9" t="s">
        <v>247</v>
      </c>
      <c r="C189" t="str">
        <f>VLOOKUP(A189,'Base Nova'!$A$3:$C$329,3,0)</f>
        <v>Moderada</v>
      </c>
      <c r="D189" t="s">
        <v>24</v>
      </c>
      <c r="E189" t="s">
        <v>14</v>
      </c>
      <c r="F189" t="s">
        <v>274</v>
      </c>
    </row>
    <row r="190" spans="1:6" x14ac:dyDescent="0.2">
      <c r="A190" s="74">
        <v>12929</v>
      </c>
      <c r="B190" s="9" t="s">
        <v>247</v>
      </c>
      <c r="C190" t="str">
        <f>VLOOKUP(A190,'Base Nova'!$A$3:$C$329,3,0)</f>
        <v>Moderada</v>
      </c>
      <c r="D190" t="s">
        <v>24</v>
      </c>
      <c r="E190" t="s">
        <v>14</v>
      </c>
      <c r="F190" t="s">
        <v>274</v>
      </c>
    </row>
    <row r="191" spans="1:6" x14ac:dyDescent="0.2">
      <c r="A191" s="37">
        <v>11957</v>
      </c>
      <c r="B191" s="9" t="s">
        <v>247</v>
      </c>
      <c r="C191" t="str">
        <f>VLOOKUP(A191,'Base Nova'!$A$3:$C$329,3,0)</f>
        <v>Agressiva</v>
      </c>
      <c r="D191" t="s">
        <v>26</v>
      </c>
      <c r="E191" t="s">
        <v>15</v>
      </c>
      <c r="F191" t="s">
        <v>282</v>
      </c>
    </row>
    <row r="192" spans="1:6" x14ac:dyDescent="0.2">
      <c r="A192" s="37">
        <v>12412</v>
      </c>
      <c r="B192" s="9" t="s">
        <v>247</v>
      </c>
      <c r="C192" t="str">
        <f>VLOOKUP(A192,'Base Nova'!$A$3:$C$329,3,0)</f>
        <v>Offshore</v>
      </c>
      <c r="D192" t="s">
        <v>41</v>
      </c>
      <c r="E192" t="s">
        <v>17</v>
      </c>
      <c r="F192" t="s">
        <v>275</v>
      </c>
    </row>
    <row r="193" spans="1:6" x14ac:dyDescent="0.2">
      <c r="A193" s="37">
        <v>11947</v>
      </c>
      <c r="B193" s="9" t="s">
        <v>247</v>
      </c>
      <c r="C193" t="str">
        <f>VLOOKUP(A193,'Base Nova'!$A$3:$C$329,3,0)</f>
        <v>Agressiva</v>
      </c>
      <c r="D193" t="s">
        <v>26</v>
      </c>
      <c r="E193" t="s">
        <v>15</v>
      </c>
      <c r="F193" t="s">
        <v>282</v>
      </c>
    </row>
    <row r="194" spans="1:6" x14ac:dyDescent="0.2">
      <c r="A194" s="37">
        <v>11953</v>
      </c>
      <c r="B194" s="9" t="s">
        <v>247</v>
      </c>
      <c r="C194" t="str">
        <f>VLOOKUP(A194,'Base Nova'!$A$3:$C$329,3,0)</f>
        <v>Moderada</v>
      </c>
      <c r="D194" t="s">
        <v>24</v>
      </c>
      <c r="E194" t="s">
        <v>12</v>
      </c>
      <c r="F194" t="s">
        <v>276</v>
      </c>
    </row>
    <row r="195" spans="1:6" x14ac:dyDescent="0.2">
      <c r="A195">
        <v>13856</v>
      </c>
      <c r="B195" s="9" t="s">
        <v>247</v>
      </c>
      <c r="C195" t="str">
        <f>VLOOKUP(A195,'Base Nova'!$A$3:$C$329,3,0)</f>
        <v>Moderada</v>
      </c>
      <c r="D195" t="s">
        <v>24</v>
      </c>
      <c r="E195" t="s">
        <v>14</v>
      </c>
      <c r="F195" t="s">
        <v>274</v>
      </c>
    </row>
    <row r="196" spans="1:6" x14ac:dyDescent="0.2">
      <c r="A196">
        <v>12360</v>
      </c>
      <c r="B196" s="9" t="s">
        <v>247</v>
      </c>
      <c r="C196" t="str">
        <f>VLOOKUP(A196,'Base Nova'!$A$3:$C$329,3,0)</f>
        <v>Offshore</v>
      </c>
      <c r="D196" t="s">
        <v>41</v>
      </c>
      <c r="E196" t="s">
        <v>17</v>
      </c>
      <c r="F196" t="s">
        <v>275</v>
      </c>
    </row>
    <row r="197" spans="1:6" x14ac:dyDescent="0.2">
      <c r="A197">
        <v>11698</v>
      </c>
      <c r="B197" s="9" t="s">
        <v>247</v>
      </c>
      <c r="C197" t="str">
        <f>VLOOKUP(A197,'Base Nova'!$A$3:$C$329,3,0)</f>
        <v>Moderada</v>
      </c>
      <c r="D197" t="s">
        <v>24</v>
      </c>
      <c r="E197" t="s">
        <v>14</v>
      </c>
      <c r="F197" t="s">
        <v>274</v>
      </c>
    </row>
    <row r="198" spans="1:6" x14ac:dyDescent="0.2">
      <c r="A198">
        <v>13548</v>
      </c>
      <c r="B198" s="9" t="s">
        <v>247</v>
      </c>
      <c r="C198" t="str">
        <f>VLOOKUP(A198,'Base Nova'!$A$3:$C$329,3,0)</f>
        <v xml:space="preserve">Moderada </v>
      </c>
      <c r="D198" t="s">
        <v>10</v>
      </c>
      <c r="E198" s="77" t="s">
        <v>14</v>
      </c>
      <c r="F198" t="s">
        <v>274</v>
      </c>
    </row>
    <row r="199" spans="1:6" x14ac:dyDescent="0.2">
      <c r="A199">
        <v>11347</v>
      </c>
      <c r="B199" s="9" t="s">
        <v>247</v>
      </c>
      <c r="C199" t="str">
        <f>VLOOKUP(A199,'Base Nova'!$A$3:$C$329,3,0)</f>
        <v>Agressiva</v>
      </c>
      <c r="D199" t="s">
        <v>26</v>
      </c>
      <c r="E199" s="77" t="s">
        <v>42</v>
      </c>
      <c r="F199" t="s">
        <v>277</v>
      </c>
    </row>
    <row r="200" spans="1:6" x14ac:dyDescent="0.2">
      <c r="A200">
        <v>11353</v>
      </c>
      <c r="B200" s="9" t="s">
        <v>247</v>
      </c>
      <c r="C200" t="str">
        <f>VLOOKUP(A200,'Base Nova'!$A$3:$C$329,3,0)</f>
        <v>Offshore</v>
      </c>
      <c r="D200" t="s">
        <v>41</v>
      </c>
      <c r="E200" t="s">
        <v>17</v>
      </c>
      <c r="F200" t="s">
        <v>275</v>
      </c>
    </row>
    <row r="201" spans="1:6" x14ac:dyDescent="0.2">
      <c r="A201">
        <v>13684</v>
      </c>
      <c r="B201" s="9" t="s">
        <v>247</v>
      </c>
      <c r="C201" t="str">
        <f>VLOOKUP(A201,'Base Nova'!$A$3:$C$329,3,0)</f>
        <v>Moderada</v>
      </c>
      <c r="D201" t="s">
        <v>24</v>
      </c>
      <c r="E201" s="77" t="s">
        <v>14</v>
      </c>
      <c r="F201" t="s">
        <v>274</v>
      </c>
    </row>
    <row r="202" spans="1:6" x14ac:dyDescent="0.2">
      <c r="A202">
        <v>11841</v>
      </c>
      <c r="B202" s="9" t="s">
        <v>247</v>
      </c>
      <c r="C202" t="str">
        <f>VLOOKUP(A202,'Base Nova'!$A$3:$C$329,3,0)</f>
        <v>Offshore</v>
      </c>
      <c r="D202" t="s">
        <v>41</v>
      </c>
      <c r="E202" t="s">
        <v>17</v>
      </c>
      <c r="F202" t="s">
        <v>275</v>
      </c>
    </row>
    <row r="203" spans="1:6" x14ac:dyDescent="0.2">
      <c r="A203">
        <v>13745</v>
      </c>
      <c r="B203" s="9" t="s">
        <v>247</v>
      </c>
      <c r="C203" t="str">
        <f>VLOOKUP(A203,'Base Nova'!$A$3:$C$329,3,0)</f>
        <v xml:space="preserve">Moderada </v>
      </c>
      <c r="D203" t="s">
        <v>10</v>
      </c>
      <c r="E203" s="83" t="s">
        <v>16</v>
      </c>
      <c r="F203" t="s">
        <v>283</v>
      </c>
    </row>
    <row r="204" spans="1:6" x14ac:dyDescent="0.2">
      <c r="A204" s="74">
        <v>14339</v>
      </c>
      <c r="B204" s="9" t="s">
        <v>247</v>
      </c>
      <c r="C204" t="str">
        <f>VLOOKUP(A204,'Base Nova'!$A$3:$C$329,3,0)</f>
        <v xml:space="preserve">Moderada </v>
      </c>
      <c r="D204" t="s">
        <v>10</v>
      </c>
      <c r="E204" t="s">
        <v>14</v>
      </c>
      <c r="F204" t="s">
        <v>274</v>
      </c>
    </row>
    <row r="205" spans="1:6" x14ac:dyDescent="0.2">
      <c r="A205">
        <v>13766</v>
      </c>
      <c r="B205" s="9" t="s">
        <v>247</v>
      </c>
      <c r="C205" t="str">
        <f>VLOOKUP(A205,'Base Nova'!$A$3:$C$329,3,0)</f>
        <v xml:space="preserve">Offshore </v>
      </c>
      <c r="D205" t="s">
        <v>11</v>
      </c>
      <c r="E205" t="s">
        <v>17</v>
      </c>
      <c r="F205" t="s">
        <v>275</v>
      </c>
    </row>
    <row r="206" spans="1:6" x14ac:dyDescent="0.2">
      <c r="A206">
        <v>12429</v>
      </c>
      <c r="B206" s="9" t="s">
        <v>247</v>
      </c>
      <c r="C206" t="str">
        <f>VLOOKUP(A206,'Base Nova'!$A$3:$C$329,3,0)</f>
        <v xml:space="preserve">Moderada </v>
      </c>
      <c r="D206" t="s">
        <v>10</v>
      </c>
      <c r="E206" s="77" t="s">
        <v>14</v>
      </c>
      <c r="F206" t="s">
        <v>274</v>
      </c>
    </row>
    <row r="207" spans="1:6" x14ac:dyDescent="0.2">
      <c r="A207">
        <v>12440</v>
      </c>
      <c r="B207" s="9" t="s">
        <v>247</v>
      </c>
      <c r="C207" t="str">
        <f>VLOOKUP(A207,'Base Nova'!$A$3:$C$329,3,0)</f>
        <v xml:space="preserve">Moderada </v>
      </c>
      <c r="D207" t="s">
        <v>10</v>
      </c>
      <c r="E207" s="77" t="s">
        <v>14</v>
      </c>
      <c r="F207" t="s">
        <v>274</v>
      </c>
    </row>
    <row r="208" spans="1:6" x14ac:dyDescent="0.2">
      <c r="A208">
        <v>12436</v>
      </c>
      <c r="B208" s="9" t="s">
        <v>247</v>
      </c>
      <c r="C208" t="str">
        <f>VLOOKUP(A208,'Base Nova'!$A$3:$C$329,3,0)</f>
        <v>Offshore</v>
      </c>
      <c r="D208" t="s">
        <v>41</v>
      </c>
      <c r="E208" t="s">
        <v>17</v>
      </c>
      <c r="F208" t="s">
        <v>275</v>
      </c>
    </row>
    <row r="209" spans="1:6" x14ac:dyDescent="0.2">
      <c r="A209">
        <v>13084</v>
      </c>
      <c r="B209" s="9" t="s">
        <v>247</v>
      </c>
      <c r="C209" t="str">
        <f>VLOOKUP(A209,'Base Nova'!$A$3:$C$329,3,0)</f>
        <v xml:space="preserve">Moderada </v>
      </c>
      <c r="D209" t="s">
        <v>10</v>
      </c>
      <c r="E209" t="s">
        <v>14</v>
      </c>
      <c r="F209" t="s">
        <v>274</v>
      </c>
    </row>
    <row r="210" spans="1:6" x14ac:dyDescent="0.2">
      <c r="A210">
        <v>13814</v>
      </c>
      <c r="B210" s="9" t="s">
        <v>247</v>
      </c>
      <c r="C210" t="str">
        <f>VLOOKUP(A210,'Base Nova'!$A$3:$C$329,3,0)</f>
        <v>Offshore</v>
      </c>
      <c r="D210" t="s">
        <v>41</v>
      </c>
      <c r="E210" t="s">
        <v>17</v>
      </c>
      <c r="F210" t="s">
        <v>275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D90C4-AD33-49A0-8941-F5B3C00E558E}">
  <sheetPr codeName="Planilha9"/>
  <dimension ref="A1:E329"/>
  <sheetViews>
    <sheetView showGridLines="0" workbookViewId="0">
      <selection activeCell="B29" sqref="B29"/>
    </sheetView>
  </sheetViews>
  <sheetFormatPr baseColWidth="10" defaultColWidth="8.83203125" defaultRowHeight="15" outlineLevelRow="1" x14ac:dyDescent="0.2"/>
  <cols>
    <col min="1" max="1" width="21.83203125" bestFit="1" customWidth="1"/>
    <col min="2" max="2" width="27.83203125" bestFit="1" customWidth="1"/>
    <col min="3" max="3" width="12.83203125" bestFit="1" customWidth="1"/>
    <col min="4" max="4" width="9.5" bestFit="1" customWidth="1"/>
    <col min="5" max="5" width="19.6640625" bestFit="1" customWidth="1"/>
  </cols>
  <sheetData>
    <row r="1" spans="1:5" ht="16" thickBot="1" x14ac:dyDescent="0.25">
      <c r="A1" s="69" t="s">
        <v>241</v>
      </c>
      <c r="B1" s="9" t="s">
        <v>246</v>
      </c>
    </row>
    <row r="2" spans="1:5" x14ac:dyDescent="0.2">
      <c r="A2" t="s">
        <v>247</v>
      </c>
      <c r="B2">
        <v>2</v>
      </c>
    </row>
    <row r="3" spans="1:5" outlineLevel="1" x14ac:dyDescent="0.2">
      <c r="A3">
        <v>13317</v>
      </c>
      <c r="B3" t="s">
        <v>24</v>
      </c>
      <c r="C3" t="s">
        <v>24</v>
      </c>
      <c r="D3" t="s">
        <v>14</v>
      </c>
      <c r="E3" t="str">
        <f>C3 &amp; "("&amp; D3&amp;")"</f>
        <v>Moderada(IPCA + 5%)</v>
      </c>
    </row>
    <row r="4" spans="1:5" outlineLevel="1" x14ac:dyDescent="0.2">
      <c r="A4">
        <v>13357</v>
      </c>
      <c r="B4" t="s">
        <v>41</v>
      </c>
      <c r="C4" t="s">
        <v>41</v>
      </c>
      <c r="D4" t="s">
        <v>17</v>
      </c>
      <c r="E4" t="str">
        <f>C4 &amp; "("&amp; D4&amp;")"</f>
        <v>Offshore(5% a.a.)</v>
      </c>
    </row>
    <row r="5" spans="1:5" x14ac:dyDescent="0.2">
      <c r="A5" t="s">
        <v>247</v>
      </c>
      <c r="B5">
        <v>4</v>
      </c>
    </row>
    <row r="6" spans="1:5" outlineLevel="1" x14ac:dyDescent="0.2">
      <c r="A6">
        <v>13401</v>
      </c>
      <c r="B6" t="s">
        <v>245</v>
      </c>
      <c r="C6" t="s">
        <v>24</v>
      </c>
      <c r="D6" t="s">
        <v>14</v>
      </c>
      <c r="E6" t="str">
        <f t="shared" ref="E6:E67" si="0">C6 &amp; "("&amp; D6&amp;")"</f>
        <v>Moderada(IPCA + 5%)</v>
      </c>
    </row>
    <row r="7" spans="1:5" outlineLevel="1" x14ac:dyDescent="0.2">
      <c r="A7">
        <v>13410</v>
      </c>
      <c r="B7" t="s">
        <v>245</v>
      </c>
      <c r="C7" t="s">
        <v>41</v>
      </c>
      <c r="D7" t="s">
        <v>17</v>
      </c>
      <c r="E7" t="str">
        <f t="shared" si="0"/>
        <v>Offshore(5% a.a.)</v>
      </c>
    </row>
    <row r="8" spans="1:5" outlineLevel="1" x14ac:dyDescent="0.2">
      <c r="A8">
        <v>13407</v>
      </c>
      <c r="B8" t="s">
        <v>245</v>
      </c>
      <c r="C8" t="s">
        <v>24</v>
      </c>
      <c r="D8" t="s">
        <v>14</v>
      </c>
      <c r="E8" t="str">
        <f t="shared" si="0"/>
        <v>Moderada(IPCA + 5%)</v>
      </c>
    </row>
    <row r="9" spans="1:5" outlineLevel="1" x14ac:dyDescent="0.2">
      <c r="A9">
        <v>13404</v>
      </c>
      <c r="B9" t="s">
        <v>245</v>
      </c>
      <c r="C9" t="s">
        <v>24</v>
      </c>
      <c r="D9" t="s">
        <v>14</v>
      </c>
      <c r="E9" t="str">
        <f t="shared" si="0"/>
        <v>Moderada(IPCA + 5%)</v>
      </c>
    </row>
    <row r="10" spans="1:5" x14ac:dyDescent="0.2">
      <c r="A10" t="s">
        <v>247</v>
      </c>
      <c r="B10">
        <v>2</v>
      </c>
      <c r="D10" s="68"/>
    </row>
    <row r="11" spans="1:5" outlineLevel="1" x14ac:dyDescent="0.2">
      <c r="A11">
        <v>12869</v>
      </c>
      <c r="B11" t="s">
        <v>24</v>
      </c>
      <c r="C11" t="s">
        <v>10</v>
      </c>
      <c r="D11" t="s">
        <v>14</v>
      </c>
      <c r="E11" t="str">
        <f t="shared" si="0"/>
        <v>Moderada (IPCA + 5%)</v>
      </c>
    </row>
    <row r="12" spans="1:5" outlineLevel="1" x14ac:dyDescent="0.2">
      <c r="A12">
        <v>12872</v>
      </c>
      <c r="B12" t="s">
        <v>41</v>
      </c>
      <c r="C12" t="s">
        <v>41</v>
      </c>
      <c r="D12" t="s">
        <v>17</v>
      </c>
      <c r="E12" t="str">
        <f t="shared" si="0"/>
        <v>Offshore(5% a.a.)</v>
      </c>
    </row>
    <row r="13" spans="1:5" x14ac:dyDescent="0.2">
      <c r="A13" t="s">
        <v>247</v>
      </c>
      <c r="B13">
        <v>1</v>
      </c>
    </row>
    <row r="14" spans="1:5" outlineLevel="1" x14ac:dyDescent="0.2">
      <c r="A14">
        <v>13560</v>
      </c>
      <c r="B14" t="s">
        <v>24</v>
      </c>
      <c r="C14" t="s">
        <v>24</v>
      </c>
      <c r="D14" t="s">
        <v>14</v>
      </c>
      <c r="E14" t="str">
        <f t="shared" si="0"/>
        <v>Moderada(IPCA + 5%)</v>
      </c>
    </row>
    <row r="15" spans="1:5" x14ac:dyDescent="0.2">
      <c r="A15" t="s">
        <v>247</v>
      </c>
      <c r="B15">
        <v>1</v>
      </c>
    </row>
    <row r="16" spans="1:5" outlineLevel="1" x14ac:dyDescent="0.2">
      <c r="A16">
        <v>13614</v>
      </c>
      <c r="B16" t="s">
        <v>41</v>
      </c>
      <c r="C16" t="s">
        <v>41</v>
      </c>
      <c r="D16" t="s">
        <v>17</v>
      </c>
      <c r="E16" t="str">
        <f t="shared" si="0"/>
        <v>Offshore(5% a.a.)</v>
      </c>
    </row>
    <row r="17" spans="1:5" x14ac:dyDescent="0.2">
      <c r="A17" t="s">
        <v>247</v>
      </c>
      <c r="B17">
        <v>2</v>
      </c>
    </row>
    <row r="18" spans="1:5" outlineLevel="1" x14ac:dyDescent="0.2">
      <c r="A18">
        <v>11921</v>
      </c>
      <c r="B18" t="s">
        <v>24</v>
      </c>
      <c r="C18" t="s">
        <v>24</v>
      </c>
      <c r="D18" t="s">
        <v>14</v>
      </c>
      <c r="E18" t="str">
        <f t="shared" si="0"/>
        <v>Moderada(IPCA + 5%)</v>
      </c>
    </row>
    <row r="19" spans="1:5" outlineLevel="1" x14ac:dyDescent="0.2">
      <c r="A19">
        <v>11973</v>
      </c>
      <c r="B19" t="s">
        <v>41</v>
      </c>
      <c r="C19" t="s">
        <v>41</v>
      </c>
      <c r="D19" t="s">
        <v>17</v>
      </c>
      <c r="E19" t="str">
        <f t="shared" si="0"/>
        <v>Offshore(5% a.a.)</v>
      </c>
    </row>
    <row r="20" spans="1:5" x14ac:dyDescent="0.2">
      <c r="A20" t="s">
        <v>247</v>
      </c>
      <c r="B20">
        <v>2</v>
      </c>
    </row>
    <row r="21" spans="1:5" outlineLevel="1" x14ac:dyDescent="0.2">
      <c r="A21">
        <v>12004</v>
      </c>
      <c r="B21" t="s">
        <v>24</v>
      </c>
      <c r="C21" t="s">
        <v>24</v>
      </c>
      <c r="D21" t="s">
        <v>14</v>
      </c>
      <c r="E21" t="str">
        <f t="shared" si="0"/>
        <v>Moderada(IPCA + 5%)</v>
      </c>
    </row>
    <row r="22" spans="1:5" outlineLevel="1" x14ac:dyDescent="0.2">
      <c r="A22">
        <v>11998</v>
      </c>
      <c r="B22" t="s">
        <v>41</v>
      </c>
      <c r="C22" t="s">
        <v>41</v>
      </c>
      <c r="D22" t="s">
        <v>17</v>
      </c>
      <c r="E22" t="str">
        <f t="shared" si="0"/>
        <v>Offshore(5% a.a.)</v>
      </c>
    </row>
    <row r="23" spans="1:5" x14ac:dyDescent="0.2">
      <c r="A23" t="s">
        <v>247</v>
      </c>
      <c r="B23">
        <v>2</v>
      </c>
    </row>
    <row r="24" spans="1:5" outlineLevel="1" x14ac:dyDescent="0.2">
      <c r="A24">
        <v>13084</v>
      </c>
      <c r="B24" t="s">
        <v>24</v>
      </c>
      <c r="C24" t="s">
        <v>10</v>
      </c>
      <c r="D24" t="s">
        <v>14</v>
      </c>
      <c r="E24" t="str">
        <f t="shared" si="0"/>
        <v>Moderada (IPCA + 5%)</v>
      </c>
    </row>
    <row r="25" spans="1:5" outlineLevel="1" x14ac:dyDescent="0.2">
      <c r="A25">
        <v>13814</v>
      </c>
      <c r="B25" t="s">
        <v>41</v>
      </c>
      <c r="C25" t="s">
        <v>41</v>
      </c>
      <c r="D25" t="s">
        <v>17</v>
      </c>
      <c r="E25" t="str">
        <f t="shared" si="0"/>
        <v>Offshore(5% a.a.)</v>
      </c>
    </row>
    <row r="26" spans="1:5" x14ac:dyDescent="0.2">
      <c r="A26" t="s">
        <v>247</v>
      </c>
      <c r="B26">
        <v>5</v>
      </c>
    </row>
    <row r="27" spans="1:5" outlineLevel="1" x14ac:dyDescent="0.2">
      <c r="A27">
        <v>12043</v>
      </c>
      <c r="B27" t="s">
        <v>245</v>
      </c>
      <c r="C27" t="s">
        <v>25</v>
      </c>
      <c r="D27" t="s">
        <v>13</v>
      </c>
      <c r="E27" t="str">
        <f t="shared" si="0"/>
        <v>Conservadora(IPCA + 3%)</v>
      </c>
    </row>
    <row r="28" spans="1:5" outlineLevel="1" x14ac:dyDescent="0.2">
      <c r="A28">
        <v>12082</v>
      </c>
      <c r="B28" t="s">
        <v>245</v>
      </c>
      <c r="C28" t="s">
        <v>25</v>
      </c>
      <c r="D28" t="s">
        <v>13</v>
      </c>
      <c r="E28" t="str">
        <f t="shared" si="0"/>
        <v>Conservadora(IPCA + 3%)</v>
      </c>
    </row>
    <row r="29" spans="1:5" outlineLevel="1" x14ac:dyDescent="0.2">
      <c r="A29">
        <v>12091</v>
      </c>
      <c r="B29" t="s">
        <v>245</v>
      </c>
      <c r="C29" t="s">
        <v>25</v>
      </c>
      <c r="D29" t="s">
        <v>13</v>
      </c>
      <c r="E29" t="str">
        <f t="shared" si="0"/>
        <v>Conservadora(IPCA + 3%)</v>
      </c>
    </row>
    <row r="30" spans="1:5" outlineLevel="1" x14ac:dyDescent="0.2">
      <c r="A30">
        <v>12104</v>
      </c>
      <c r="B30" t="s">
        <v>245</v>
      </c>
      <c r="C30" t="s">
        <v>25</v>
      </c>
      <c r="D30" t="s">
        <v>13</v>
      </c>
      <c r="E30" t="str">
        <f t="shared" si="0"/>
        <v>Conservadora(IPCA + 3%)</v>
      </c>
    </row>
    <row r="31" spans="1:5" outlineLevel="1" x14ac:dyDescent="0.2">
      <c r="A31">
        <v>12972</v>
      </c>
      <c r="B31" t="s">
        <v>245</v>
      </c>
      <c r="C31" t="s">
        <v>25</v>
      </c>
      <c r="D31" t="s">
        <v>13</v>
      </c>
      <c r="E31" t="str">
        <f t="shared" si="0"/>
        <v>Conservadora(IPCA + 3%)</v>
      </c>
    </row>
    <row r="32" spans="1:5" x14ac:dyDescent="0.2">
      <c r="A32" t="s">
        <v>247</v>
      </c>
      <c r="B32">
        <v>1</v>
      </c>
    </row>
    <row r="33" spans="1:5" outlineLevel="1" x14ac:dyDescent="0.2">
      <c r="A33">
        <v>11403</v>
      </c>
      <c r="B33" t="s">
        <v>24</v>
      </c>
      <c r="C33" t="s">
        <v>24</v>
      </c>
      <c r="D33" t="s">
        <v>14</v>
      </c>
      <c r="E33" t="str">
        <f t="shared" si="0"/>
        <v>Moderada(IPCA + 5%)</v>
      </c>
    </row>
    <row r="34" spans="1:5" x14ac:dyDescent="0.2">
      <c r="A34" t="s">
        <v>247</v>
      </c>
      <c r="B34">
        <v>3</v>
      </c>
    </row>
    <row r="35" spans="1:5" outlineLevel="1" x14ac:dyDescent="0.2">
      <c r="A35">
        <v>12556</v>
      </c>
      <c r="B35" t="s">
        <v>24</v>
      </c>
      <c r="C35" t="s">
        <v>24</v>
      </c>
      <c r="D35" t="s">
        <v>14</v>
      </c>
      <c r="E35" t="str">
        <f t="shared" si="0"/>
        <v>Moderada(IPCA + 5%)</v>
      </c>
    </row>
    <row r="36" spans="1:5" outlineLevel="1" x14ac:dyDescent="0.2">
      <c r="A36">
        <v>13888</v>
      </c>
      <c r="B36" t="s">
        <v>41</v>
      </c>
      <c r="C36" t="s">
        <v>41</v>
      </c>
      <c r="D36" t="s">
        <v>17</v>
      </c>
      <c r="E36" t="str">
        <f t="shared" si="0"/>
        <v>Offshore(5% a.a.)</v>
      </c>
    </row>
    <row r="37" spans="1:5" outlineLevel="1" x14ac:dyDescent="0.2">
      <c r="A37">
        <v>12395</v>
      </c>
      <c r="B37" t="s">
        <v>59</v>
      </c>
      <c r="C37" t="s">
        <v>41</v>
      </c>
      <c r="D37" t="s">
        <v>17</v>
      </c>
      <c r="E37" t="str">
        <f t="shared" si="0"/>
        <v>Offshore(5% a.a.)</v>
      </c>
    </row>
    <row r="38" spans="1:5" x14ac:dyDescent="0.2">
      <c r="A38" t="s">
        <v>247</v>
      </c>
      <c r="B38">
        <v>3</v>
      </c>
    </row>
    <row r="39" spans="1:5" outlineLevel="1" x14ac:dyDescent="0.2">
      <c r="A39">
        <v>13014</v>
      </c>
      <c r="B39" t="s">
        <v>245</v>
      </c>
      <c r="C39" t="s">
        <v>24</v>
      </c>
      <c r="D39" t="s">
        <v>14</v>
      </c>
      <c r="E39" t="str">
        <f t="shared" si="0"/>
        <v>Moderada(IPCA + 5%)</v>
      </c>
    </row>
    <row r="40" spans="1:5" outlineLevel="1" x14ac:dyDescent="0.2">
      <c r="A40">
        <v>13032</v>
      </c>
      <c r="B40" t="s">
        <v>245</v>
      </c>
      <c r="C40" t="e">
        <v>#N/A</v>
      </c>
      <c r="D40" t="e">
        <v>#N/A</v>
      </c>
      <c r="E40" t="e">
        <f t="shared" si="0"/>
        <v>#N/A</v>
      </c>
    </row>
    <row r="41" spans="1:5" outlineLevel="1" x14ac:dyDescent="0.2">
      <c r="A41">
        <v>13058</v>
      </c>
      <c r="B41" t="s">
        <v>60</v>
      </c>
      <c r="C41" t="e">
        <v>#N/A</v>
      </c>
      <c r="D41" t="e">
        <v>#N/A</v>
      </c>
      <c r="E41" t="e">
        <f t="shared" si="0"/>
        <v>#N/A</v>
      </c>
    </row>
    <row r="42" spans="1:5" x14ac:dyDescent="0.2">
      <c r="A42" t="s">
        <v>247</v>
      </c>
      <c r="B42">
        <v>3</v>
      </c>
    </row>
    <row r="43" spans="1:5" outlineLevel="1" x14ac:dyDescent="0.2">
      <c r="A43">
        <v>12452</v>
      </c>
      <c r="B43" t="s">
        <v>245</v>
      </c>
      <c r="C43" t="s">
        <v>25</v>
      </c>
      <c r="D43" t="s">
        <v>13</v>
      </c>
      <c r="E43" t="str">
        <f t="shared" si="0"/>
        <v>Conservadora(IPCA + 3%)</v>
      </c>
    </row>
    <row r="44" spans="1:5" outlineLevel="1" x14ac:dyDescent="0.2">
      <c r="A44">
        <v>12455</v>
      </c>
      <c r="B44" t="s">
        <v>245</v>
      </c>
      <c r="C44" t="s">
        <v>25</v>
      </c>
      <c r="D44" t="s">
        <v>13</v>
      </c>
      <c r="E44" t="str">
        <f t="shared" si="0"/>
        <v>Conservadora(IPCA + 3%)</v>
      </c>
    </row>
    <row r="45" spans="1:5" outlineLevel="1" x14ac:dyDescent="0.2">
      <c r="A45">
        <v>12446</v>
      </c>
      <c r="B45" t="s">
        <v>245</v>
      </c>
      <c r="C45" t="s">
        <v>25</v>
      </c>
      <c r="D45" t="s">
        <v>13</v>
      </c>
      <c r="E45" t="str">
        <f t="shared" si="0"/>
        <v>Conservadora(IPCA + 3%)</v>
      </c>
    </row>
    <row r="46" spans="1:5" x14ac:dyDescent="0.2">
      <c r="A46" t="s">
        <v>247</v>
      </c>
      <c r="B46">
        <v>3</v>
      </c>
    </row>
    <row r="47" spans="1:5" outlineLevel="1" x14ac:dyDescent="0.2">
      <c r="A47">
        <v>13862</v>
      </c>
      <c r="B47" t="s">
        <v>245</v>
      </c>
      <c r="C47" t="s">
        <v>24</v>
      </c>
      <c r="D47" t="s">
        <v>14</v>
      </c>
      <c r="E47" t="str">
        <f t="shared" si="0"/>
        <v>Moderada(IPCA + 5%)</v>
      </c>
    </row>
    <row r="48" spans="1:5" outlineLevel="1" x14ac:dyDescent="0.2">
      <c r="A48">
        <v>13868</v>
      </c>
      <c r="B48" t="s">
        <v>245</v>
      </c>
      <c r="C48" t="s">
        <v>25</v>
      </c>
      <c r="D48" t="s">
        <v>12</v>
      </c>
      <c r="E48" t="str">
        <f t="shared" si="0"/>
        <v>Conservadora(CDI)</v>
      </c>
    </row>
    <row r="49" spans="1:5" outlineLevel="1" x14ac:dyDescent="0.2">
      <c r="A49">
        <v>13865</v>
      </c>
      <c r="B49" t="s">
        <v>245</v>
      </c>
      <c r="C49" t="s">
        <v>25</v>
      </c>
      <c r="D49" t="s">
        <v>12</v>
      </c>
      <c r="E49" t="str">
        <f t="shared" si="0"/>
        <v>Conservadora(CDI)</v>
      </c>
    </row>
    <row r="50" spans="1:5" x14ac:dyDescent="0.2">
      <c r="A50" t="s">
        <v>247</v>
      </c>
      <c r="B50">
        <v>2</v>
      </c>
    </row>
    <row r="51" spans="1:5" outlineLevel="1" x14ac:dyDescent="0.2">
      <c r="A51">
        <v>11399</v>
      </c>
      <c r="B51" t="s">
        <v>24</v>
      </c>
      <c r="C51" t="s">
        <v>24</v>
      </c>
      <c r="D51" t="s">
        <v>14</v>
      </c>
      <c r="E51" t="str">
        <f t="shared" si="0"/>
        <v>Moderada(IPCA + 5%)</v>
      </c>
    </row>
    <row r="52" spans="1:5" outlineLevel="1" x14ac:dyDescent="0.2">
      <c r="A52">
        <v>12107</v>
      </c>
      <c r="B52" t="s">
        <v>41</v>
      </c>
      <c r="C52" t="s">
        <v>41</v>
      </c>
      <c r="D52" t="s">
        <v>17</v>
      </c>
      <c r="E52" t="str">
        <f t="shared" si="0"/>
        <v>Offshore(5% a.a.)</v>
      </c>
    </row>
    <row r="53" spans="1:5" x14ac:dyDescent="0.2">
      <c r="A53" t="s">
        <v>247</v>
      </c>
      <c r="B53">
        <v>3</v>
      </c>
    </row>
    <row r="54" spans="1:5" outlineLevel="1" x14ac:dyDescent="0.2">
      <c r="A54">
        <v>12632</v>
      </c>
      <c r="B54" t="s">
        <v>24</v>
      </c>
      <c r="C54" t="s">
        <v>24</v>
      </c>
      <c r="D54" t="s">
        <v>14</v>
      </c>
      <c r="E54" t="str">
        <f t="shared" si="0"/>
        <v>Moderada(IPCA + 5%)</v>
      </c>
    </row>
    <row r="55" spans="1:5" outlineLevel="1" x14ac:dyDescent="0.2">
      <c r="A55">
        <v>14406</v>
      </c>
      <c r="B55" t="s">
        <v>41</v>
      </c>
      <c r="C55" t="s">
        <v>41</v>
      </c>
      <c r="D55" t="s">
        <v>17</v>
      </c>
      <c r="E55" t="str">
        <f t="shared" si="0"/>
        <v>Offshore(5% a.a.)</v>
      </c>
    </row>
    <row r="56" spans="1:5" outlineLevel="1" x14ac:dyDescent="0.2">
      <c r="A56">
        <v>12636</v>
      </c>
      <c r="B56" t="s">
        <v>245</v>
      </c>
      <c r="C56" t="s">
        <v>41</v>
      </c>
      <c r="D56" t="s">
        <v>17</v>
      </c>
      <c r="E56" t="str">
        <f t="shared" si="0"/>
        <v>Offshore(5% a.a.)</v>
      </c>
    </row>
    <row r="57" spans="1:5" x14ac:dyDescent="0.2">
      <c r="A57" t="s">
        <v>247</v>
      </c>
      <c r="B57">
        <v>1</v>
      </c>
    </row>
    <row r="58" spans="1:5" outlineLevel="1" x14ac:dyDescent="0.2">
      <c r="A58">
        <v>13950</v>
      </c>
      <c r="B58" t="s">
        <v>24</v>
      </c>
      <c r="C58" t="s">
        <v>24</v>
      </c>
      <c r="D58" t="s">
        <v>14</v>
      </c>
      <c r="E58" t="str">
        <f t="shared" si="0"/>
        <v>Moderada(IPCA + 5%)</v>
      </c>
    </row>
    <row r="59" spans="1:5" x14ac:dyDescent="0.2">
      <c r="A59" t="s">
        <v>247</v>
      </c>
      <c r="B59">
        <v>1</v>
      </c>
    </row>
    <row r="60" spans="1:5" outlineLevel="1" x14ac:dyDescent="0.2">
      <c r="A60">
        <v>13011</v>
      </c>
      <c r="B60" t="s">
        <v>24</v>
      </c>
      <c r="C60" t="s">
        <v>10</v>
      </c>
      <c r="D60" t="s">
        <v>14</v>
      </c>
      <c r="E60" t="str">
        <f t="shared" si="0"/>
        <v>Moderada (IPCA + 5%)</v>
      </c>
    </row>
    <row r="61" spans="1:5" x14ac:dyDescent="0.2">
      <c r="A61" t="s">
        <v>247</v>
      </c>
      <c r="B61">
        <v>3</v>
      </c>
    </row>
    <row r="62" spans="1:5" outlineLevel="1" x14ac:dyDescent="0.2">
      <c r="A62">
        <v>11749</v>
      </c>
      <c r="B62" t="s">
        <v>24</v>
      </c>
      <c r="C62" t="s">
        <v>24</v>
      </c>
      <c r="D62" t="s">
        <v>14</v>
      </c>
      <c r="E62" t="str">
        <f t="shared" si="0"/>
        <v>Moderada(IPCA + 5%)</v>
      </c>
    </row>
    <row r="63" spans="1:5" outlineLevel="1" x14ac:dyDescent="0.2">
      <c r="A63">
        <v>11888</v>
      </c>
      <c r="B63" t="s">
        <v>41</v>
      </c>
      <c r="C63" t="s">
        <v>41</v>
      </c>
      <c r="D63" t="s">
        <v>17</v>
      </c>
      <c r="E63" t="str">
        <f t="shared" si="0"/>
        <v>Offshore(5% a.a.)</v>
      </c>
    </row>
    <row r="64" spans="1:5" outlineLevel="1" x14ac:dyDescent="0.2">
      <c r="A64">
        <v>14234</v>
      </c>
      <c r="B64" t="s">
        <v>59</v>
      </c>
      <c r="C64" t="s">
        <v>41</v>
      </c>
      <c r="D64" t="s">
        <v>17</v>
      </c>
      <c r="E64" t="str">
        <f t="shared" si="0"/>
        <v>Offshore(5% a.a.)</v>
      </c>
    </row>
    <row r="65" spans="1:5" x14ac:dyDescent="0.2">
      <c r="A65" t="s">
        <v>247</v>
      </c>
      <c r="B65">
        <v>2</v>
      </c>
    </row>
    <row r="66" spans="1:5" outlineLevel="1" x14ac:dyDescent="0.2">
      <c r="A66">
        <v>13934</v>
      </c>
      <c r="B66" t="s">
        <v>24</v>
      </c>
      <c r="C66" t="s">
        <v>24</v>
      </c>
      <c r="D66" t="s">
        <v>14</v>
      </c>
      <c r="E66" t="str">
        <f t="shared" si="0"/>
        <v>Moderada(IPCA + 5%)</v>
      </c>
    </row>
    <row r="67" spans="1:5" outlineLevel="1" x14ac:dyDescent="0.2">
      <c r="A67">
        <v>14409</v>
      </c>
      <c r="B67" t="s">
        <v>41</v>
      </c>
      <c r="C67" t="s">
        <v>41</v>
      </c>
      <c r="D67" t="s">
        <v>17</v>
      </c>
      <c r="E67" t="str">
        <f t="shared" si="0"/>
        <v>Offshore(5% a.a.)</v>
      </c>
    </row>
    <row r="68" spans="1:5" x14ac:dyDescent="0.2">
      <c r="A68" t="s">
        <v>247</v>
      </c>
      <c r="B68">
        <v>2</v>
      </c>
    </row>
    <row r="69" spans="1:5" outlineLevel="1" x14ac:dyDescent="0.2">
      <c r="A69">
        <v>13856</v>
      </c>
      <c r="B69" t="s">
        <v>24</v>
      </c>
      <c r="C69" t="s">
        <v>24</v>
      </c>
      <c r="D69" t="s">
        <v>14</v>
      </c>
      <c r="E69" t="str">
        <f t="shared" ref="E69:E131" si="1">C69 &amp; "("&amp; D69&amp;")"</f>
        <v>Moderada(IPCA + 5%)</v>
      </c>
    </row>
    <row r="70" spans="1:5" outlineLevel="1" x14ac:dyDescent="0.2">
      <c r="A70">
        <v>12360</v>
      </c>
      <c r="B70" t="s">
        <v>41</v>
      </c>
      <c r="C70" t="s">
        <v>41</v>
      </c>
      <c r="D70" t="s">
        <v>17</v>
      </c>
      <c r="E70" t="str">
        <f t="shared" si="1"/>
        <v>Offshore(5% a.a.)</v>
      </c>
    </row>
    <row r="71" spans="1:5" x14ac:dyDescent="0.2">
      <c r="A71" t="s">
        <v>247</v>
      </c>
      <c r="B71">
        <v>1</v>
      </c>
    </row>
    <row r="72" spans="1:5" outlineLevel="1" x14ac:dyDescent="0.2">
      <c r="A72">
        <v>11698</v>
      </c>
      <c r="B72" t="s">
        <v>24</v>
      </c>
      <c r="C72" t="s">
        <v>24</v>
      </c>
      <c r="D72" t="s">
        <v>14</v>
      </c>
      <c r="E72" t="str">
        <f t="shared" si="1"/>
        <v>Moderada(IPCA + 5%)</v>
      </c>
    </row>
    <row r="73" spans="1:5" x14ac:dyDescent="0.2">
      <c r="A73" t="s">
        <v>247</v>
      </c>
      <c r="B73">
        <v>2</v>
      </c>
    </row>
    <row r="74" spans="1:5" outlineLevel="1" x14ac:dyDescent="0.2">
      <c r="A74">
        <v>11992</v>
      </c>
      <c r="B74" t="s">
        <v>41</v>
      </c>
      <c r="C74" t="s">
        <v>41</v>
      </c>
      <c r="D74" t="s">
        <v>17</v>
      </c>
      <c r="E74" t="str">
        <f t="shared" si="1"/>
        <v>Offshore(5% a.a.)</v>
      </c>
    </row>
    <row r="75" spans="1:5" outlineLevel="1" x14ac:dyDescent="0.2">
      <c r="A75">
        <v>11515</v>
      </c>
      <c r="B75" t="s">
        <v>245</v>
      </c>
      <c r="C75" t="s">
        <v>41</v>
      </c>
      <c r="D75" t="s">
        <v>17</v>
      </c>
      <c r="E75" t="str">
        <f t="shared" si="1"/>
        <v>Offshore(5% a.a.)</v>
      </c>
    </row>
    <row r="76" spans="1:5" x14ac:dyDescent="0.2">
      <c r="A76" t="s">
        <v>247</v>
      </c>
      <c r="B76">
        <v>1</v>
      </c>
    </row>
    <row r="77" spans="1:5" outlineLevel="1" x14ac:dyDescent="0.2">
      <c r="A77">
        <v>11687</v>
      </c>
      <c r="B77" t="s">
        <v>24</v>
      </c>
      <c r="C77" t="s">
        <v>24</v>
      </c>
      <c r="D77" t="s">
        <v>14</v>
      </c>
      <c r="E77" t="str">
        <f t="shared" si="1"/>
        <v>Moderada(IPCA + 5%)</v>
      </c>
    </row>
    <row r="78" spans="1:5" x14ac:dyDescent="0.2">
      <c r="A78" t="s">
        <v>247</v>
      </c>
      <c r="B78">
        <v>5</v>
      </c>
    </row>
    <row r="79" spans="1:5" outlineLevel="1" x14ac:dyDescent="0.2">
      <c r="A79">
        <v>11938</v>
      </c>
      <c r="B79" t="s">
        <v>245</v>
      </c>
      <c r="C79" t="s">
        <v>26</v>
      </c>
      <c r="D79" t="s">
        <v>15</v>
      </c>
      <c r="E79" t="str">
        <f t="shared" si="1"/>
        <v>Agressiva(IPCA + 7%)</v>
      </c>
    </row>
    <row r="80" spans="1:5" outlineLevel="1" x14ac:dyDescent="0.2">
      <c r="A80">
        <v>11957</v>
      </c>
      <c r="B80" t="s">
        <v>245</v>
      </c>
      <c r="C80" t="s">
        <v>26</v>
      </c>
      <c r="D80" t="s">
        <v>15</v>
      </c>
      <c r="E80" t="str">
        <f t="shared" si="1"/>
        <v>Agressiva(IPCA + 7%)</v>
      </c>
    </row>
    <row r="81" spans="1:5" outlineLevel="1" x14ac:dyDescent="0.2">
      <c r="A81">
        <v>12412</v>
      </c>
      <c r="B81" t="s">
        <v>245</v>
      </c>
      <c r="C81" t="s">
        <v>41</v>
      </c>
      <c r="D81" t="s">
        <v>17</v>
      </c>
      <c r="E81" t="str">
        <f t="shared" si="1"/>
        <v>Offshore(5% a.a.)</v>
      </c>
    </row>
    <row r="82" spans="1:5" outlineLevel="1" x14ac:dyDescent="0.2">
      <c r="A82">
        <v>11947</v>
      </c>
      <c r="B82" t="s">
        <v>245</v>
      </c>
      <c r="C82" t="s">
        <v>26</v>
      </c>
      <c r="D82" t="s">
        <v>15</v>
      </c>
      <c r="E82" t="str">
        <f t="shared" si="1"/>
        <v>Agressiva(IPCA + 7%)</v>
      </c>
    </row>
    <row r="83" spans="1:5" outlineLevel="1" x14ac:dyDescent="0.2">
      <c r="A83">
        <v>11953</v>
      </c>
      <c r="B83" t="s">
        <v>245</v>
      </c>
      <c r="C83" t="s">
        <v>24</v>
      </c>
      <c r="D83" t="s">
        <v>12</v>
      </c>
      <c r="E83" t="str">
        <f t="shared" si="1"/>
        <v>Moderada(CDI)</v>
      </c>
    </row>
    <row r="84" spans="1:5" x14ac:dyDescent="0.2">
      <c r="A84" t="s">
        <v>247</v>
      </c>
      <c r="B84">
        <v>4</v>
      </c>
    </row>
    <row r="85" spans="1:5" outlineLevel="1" x14ac:dyDescent="0.2">
      <c r="A85">
        <v>11957</v>
      </c>
      <c r="B85" t="s">
        <v>245</v>
      </c>
      <c r="C85" t="s">
        <v>26</v>
      </c>
      <c r="D85" t="s">
        <v>15</v>
      </c>
      <c r="E85" t="str">
        <f t="shared" si="1"/>
        <v>Agressiva(IPCA + 7%)</v>
      </c>
    </row>
    <row r="86" spans="1:5" outlineLevel="1" x14ac:dyDescent="0.2">
      <c r="A86">
        <v>12412</v>
      </c>
      <c r="B86" t="s">
        <v>41</v>
      </c>
      <c r="C86" t="s">
        <v>41</v>
      </c>
      <c r="D86" t="s">
        <v>17</v>
      </c>
      <c r="E86" t="str">
        <f t="shared" si="1"/>
        <v>Offshore(5% a.a.)</v>
      </c>
    </row>
    <row r="87" spans="1:5" outlineLevel="1" x14ac:dyDescent="0.2">
      <c r="A87">
        <v>11947</v>
      </c>
      <c r="B87" t="s">
        <v>245</v>
      </c>
      <c r="C87" t="s">
        <v>26</v>
      </c>
      <c r="D87" t="s">
        <v>15</v>
      </c>
      <c r="E87" t="str">
        <f t="shared" si="1"/>
        <v>Agressiva(IPCA + 7%)</v>
      </c>
    </row>
    <row r="88" spans="1:5" outlineLevel="1" x14ac:dyDescent="0.2">
      <c r="A88">
        <v>11953</v>
      </c>
      <c r="B88" t="s">
        <v>245</v>
      </c>
      <c r="C88" t="s">
        <v>24</v>
      </c>
      <c r="D88" t="s">
        <v>12</v>
      </c>
      <c r="E88" t="str">
        <f t="shared" si="1"/>
        <v>Moderada(CDI)</v>
      </c>
    </row>
    <row r="89" spans="1:5" x14ac:dyDescent="0.2">
      <c r="A89" t="s">
        <v>247</v>
      </c>
      <c r="B89">
        <v>3</v>
      </c>
    </row>
    <row r="90" spans="1:5" outlineLevel="1" x14ac:dyDescent="0.2">
      <c r="A90">
        <v>11935</v>
      </c>
      <c r="B90" t="s">
        <v>245</v>
      </c>
      <c r="C90" t="s">
        <v>26</v>
      </c>
      <c r="D90" t="s">
        <v>15</v>
      </c>
      <c r="E90" t="str">
        <f t="shared" si="1"/>
        <v>Agressiva(IPCA + 7%)</v>
      </c>
    </row>
    <row r="91" spans="1:5" outlineLevel="1" x14ac:dyDescent="0.2">
      <c r="A91">
        <v>11947</v>
      </c>
      <c r="B91" t="s">
        <v>245</v>
      </c>
      <c r="C91" t="s">
        <v>26</v>
      </c>
      <c r="D91" t="s">
        <v>15</v>
      </c>
      <c r="E91" t="str">
        <f t="shared" si="1"/>
        <v>Agressiva(IPCA + 7%)</v>
      </c>
    </row>
    <row r="92" spans="1:5" outlineLevel="1" x14ac:dyDescent="0.2">
      <c r="A92">
        <v>11953</v>
      </c>
      <c r="B92" t="s">
        <v>245</v>
      </c>
      <c r="C92" t="s">
        <v>24</v>
      </c>
      <c r="D92" t="s">
        <v>12</v>
      </c>
      <c r="E92" t="str">
        <f t="shared" si="1"/>
        <v>Moderada(CDI)</v>
      </c>
    </row>
    <row r="93" spans="1:5" x14ac:dyDescent="0.2">
      <c r="A93" t="s">
        <v>247</v>
      </c>
      <c r="B93">
        <v>2</v>
      </c>
    </row>
    <row r="94" spans="1:5" outlineLevel="1" x14ac:dyDescent="0.2">
      <c r="A94">
        <v>11421</v>
      </c>
      <c r="B94" t="s">
        <v>24</v>
      </c>
      <c r="C94" t="s">
        <v>24</v>
      </c>
      <c r="D94" t="s">
        <v>14</v>
      </c>
      <c r="E94" t="str">
        <f t="shared" si="1"/>
        <v>Moderada(IPCA + 5%)</v>
      </c>
    </row>
    <row r="95" spans="1:5" outlineLevel="1" x14ac:dyDescent="0.2">
      <c r="A95">
        <v>11581</v>
      </c>
      <c r="B95" t="s">
        <v>41</v>
      </c>
      <c r="C95" t="s">
        <v>41</v>
      </c>
      <c r="D95" t="s">
        <v>17</v>
      </c>
      <c r="E95" t="str">
        <f t="shared" si="1"/>
        <v>Offshore(5% a.a.)</v>
      </c>
    </row>
    <row r="96" spans="1:5" x14ac:dyDescent="0.2">
      <c r="A96" t="s">
        <v>247</v>
      </c>
      <c r="B96">
        <v>3</v>
      </c>
    </row>
    <row r="97" spans="1:5" outlineLevel="1" x14ac:dyDescent="0.2">
      <c r="A97">
        <v>12241</v>
      </c>
      <c r="B97" t="s">
        <v>24</v>
      </c>
      <c r="C97" t="s">
        <v>24</v>
      </c>
      <c r="D97" t="s">
        <v>14</v>
      </c>
      <c r="E97" t="str">
        <f t="shared" si="1"/>
        <v>Moderada(IPCA + 5%)</v>
      </c>
    </row>
    <row r="98" spans="1:5" outlineLevel="1" x14ac:dyDescent="0.2">
      <c r="A98">
        <v>12244</v>
      </c>
      <c r="B98" t="s">
        <v>41</v>
      </c>
      <c r="C98" t="s">
        <v>41</v>
      </c>
      <c r="D98" t="s">
        <v>17</v>
      </c>
      <c r="E98" t="str">
        <f t="shared" si="1"/>
        <v>Offshore(5% a.a.)</v>
      </c>
    </row>
    <row r="99" spans="1:5" outlineLevel="1" x14ac:dyDescent="0.2">
      <c r="A99">
        <v>13754</v>
      </c>
      <c r="B99" t="s">
        <v>245</v>
      </c>
      <c r="C99" t="s">
        <v>41</v>
      </c>
      <c r="D99" t="s">
        <v>17</v>
      </c>
      <c r="E99" t="str">
        <f t="shared" si="1"/>
        <v>Offshore(5% a.a.)</v>
      </c>
    </row>
    <row r="100" spans="1:5" x14ac:dyDescent="0.2">
      <c r="A100" t="s">
        <v>247</v>
      </c>
      <c r="B100">
        <v>2</v>
      </c>
    </row>
    <row r="101" spans="1:5" outlineLevel="1" x14ac:dyDescent="0.2">
      <c r="A101">
        <v>12292</v>
      </c>
      <c r="B101" t="s">
        <v>24</v>
      </c>
      <c r="C101" t="s">
        <v>24</v>
      </c>
      <c r="D101" t="s">
        <v>14</v>
      </c>
      <c r="E101" t="str">
        <f t="shared" si="1"/>
        <v>Moderada(IPCA + 5%)</v>
      </c>
    </row>
    <row r="102" spans="1:5" outlineLevel="1" x14ac:dyDescent="0.2">
      <c r="A102">
        <v>12920</v>
      </c>
      <c r="B102" t="s">
        <v>41</v>
      </c>
      <c r="C102" t="s">
        <v>41</v>
      </c>
      <c r="D102" t="s">
        <v>17</v>
      </c>
      <c r="E102" t="str">
        <f t="shared" si="1"/>
        <v>Offshore(5% a.a.)</v>
      </c>
    </row>
    <row r="103" spans="1:5" x14ac:dyDescent="0.2">
      <c r="A103" t="s">
        <v>247</v>
      </c>
      <c r="B103">
        <v>1</v>
      </c>
    </row>
    <row r="104" spans="1:5" outlineLevel="1" x14ac:dyDescent="0.2">
      <c r="A104">
        <v>13373</v>
      </c>
      <c r="B104" t="s">
        <v>24</v>
      </c>
      <c r="C104" t="s">
        <v>24</v>
      </c>
      <c r="D104" t="s">
        <v>14</v>
      </c>
      <c r="E104" t="str">
        <f t="shared" si="1"/>
        <v>Moderada(IPCA + 5%)</v>
      </c>
    </row>
    <row r="105" spans="1:5" x14ac:dyDescent="0.2">
      <c r="A105" t="s">
        <v>247</v>
      </c>
      <c r="B105">
        <v>2</v>
      </c>
    </row>
    <row r="106" spans="1:5" outlineLevel="1" x14ac:dyDescent="0.2">
      <c r="A106">
        <v>11486</v>
      </c>
      <c r="B106" t="s">
        <v>24</v>
      </c>
      <c r="C106" t="s">
        <v>24</v>
      </c>
      <c r="D106" t="s">
        <v>12</v>
      </c>
      <c r="E106" t="str">
        <f t="shared" si="1"/>
        <v>Moderada(CDI)</v>
      </c>
    </row>
    <row r="107" spans="1:5" outlineLevel="1" x14ac:dyDescent="0.2">
      <c r="A107">
        <v>11902</v>
      </c>
      <c r="B107" t="s">
        <v>41</v>
      </c>
      <c r="C107" t="s">
        <v>41</v>
      </c>
      <c r="D107" t="s">
        <v>17</v>
      </c>
      <c r="E107" t="str">
        <f t="shared" si="1"/>
        <v>Offshore(5% a.a.)</v>
      </c>
    </row>
    <row r="108" spans="1:5" x14ac:dyDescent="0.2">
      <c r="A108" t="s">
        <v>247</v>
      </c>
      <c r="B108">
        <v>2</v>
      </c>
    </row>
    <row r="109" spans="1:5" outlineLevel="1" x14ac:dyDescent="0.2">
      <c r="A109">
        <v>11258</v>
      </c>
      <c r="B109" t="s">
        <v>24</v>
      </c>
      <c r="C109" t="s">
        <v>24</v>
      </c>
      <c r="D109" t="s">
        <v>12</v>
      </c>
      <c r="E109" t="str">
        <f t="shared" si="1"/>
        <v>Moderada(CDI)</v>
      </c>
    </row>
    <row r="110" spans="1:5" outlineLevel="1" x14ac:dyDescent="0.2">
      <c r="A110">
        <v>12408</v>
      </c>
      <c r="B110" t="s">
        <v>41</v>
      </c>
      <c r="C110" t="s">
        <v>41</v>
      </c>
      <c r="D110" t="s">
        <v>17</v>
      </c>
      <c r="E110" t="str">
        <f t="shared" si="1"/>
        <v>Offshore(5% a.a.)</v>
      </c>
    </row>
    <row r="111" spans="1:5" x14ac:dyDescent="0.2">
      <c r="A111" t="s">
        <v>247</v>
      </c>
      <c r="B111">
        <v>1</v>
      </c>
    </row>
    <row r="112" spans="1:5" outlineLevel="1" x14ac:dyDescent="0.2">
      <c r="A112">
        <v>14222</v>
      </c>
      <c r="B112" t="s">
        <v>25</v>
      </c>
      <c r="C112" t="s">
        <v>25</v>
      </c>
      <c r="D112" t="s">
        <v>13</v>
      </c>
      <c r="E112" t="str">
        <f t="shared" si="1"/>
        <v>Conservadora(IPCA + 3%)</v>
      </c>
    </row>
    <row r="113" spans="1:5" x14ac:dyDescent="0.2">
      <c r="A113" t="s">
        <v>247</v>
      </c>
      <c r="B113">
        <v>3</v>
      </c>
    </row>
    <row r="114" spans="1:5" outlineLevel="1" x14ac:dyDescent="0.2">
      <c r="A114">
        <v>13363</v>
      </c>
      <c r="B114" t="s">
        <v>24</v>
      </c>
      <c r="C114" t="s">
        <v>10</v>
      </c>
      <c r="D114" t="s">
        <v>14</v>
      </c>
      <c r="E114" t="str">
        <f t="shared" si="1"/>
        <v>Moderada (IPCA + 5%)</v>
      </c>
    </row>
    <row r="115" spans="1:5" outlineLevel="1" x14ac:dyDescent="0.2">
      <c r="A115">
        <v>12910</v>
      </c>
      <c r="B115" t="s">
        <v>245</v>
      </c>
      <c r="C115" t="s">
        <v>41</v>
      </c>
      <c r="D115" t="s">
        <v>17</v>
      </c>
      <c r="E115" t="str">
        <f t="shared" si="1"/>
        <v>Offshore(5% a.a.)</v>
      </c>
    </row>
    <row r="116" spans="1:5" outlineLevel="1" x14ac:dyDescent="0.2">
      <c r="A116">
        <v>13805</v>
      </c>
      <c r="B116" t="s">
        <v>245</v>
      </c>
      <c r="C116" t="s">
        <v>10</v>
      </c>
      <c r="D116" t="s">
        <v>14</v>
      </c>
      <c r="E116" t="str">
        <f t="shared" si="1"/>
        <v>Moderada (IPCA + 5%)</v>
      </c>
    </row>
    <row r="118" spans="1:5" ht="16" thickBot="1" x14ac:dyDescent="0.25">
      <c r="A118" s="69" t="s">
        <v>242</v>
      </c>
    </row>
    <row r="119" spans="1:5" x14ac:dyDescent="0.2">
      <c r="A119" t="s">
        <v>247</v>
      </c>
      <c r="B119">
        <v>1</v>
      </c>
    </row>
    <row r="120" spans="1:5" outlineLevel="1" x14ac:dyDescent="0.2">
      <c r="A120">
        <v>12484</v>
      </c>
      <c r="B120" t="s">
        <v>25</v>
      </c>
      <c r="C120" t="s">
        <v>25</v>
      </c>
      <c r="D120" t="s">
        <v>13</v>
      </c>
      <c r="E120" t="str">
        <f t="shared" si="1"/>
        <v>Conservadora(IPCA + 3%)</v>
      </c>
    </row>
    <row r="121" spans="1:5" x14ac:dyDescent="0.2">
      <c r="A121" t="s">
        <v>247</v>
      </c>
      <c r="B121">
        <v>1</v>
      </c>
    </row>
    <row r="122" spans="1:5" outlineLevel="1" x14ac:dyDescent="0.2">
      <c r="A122">
        <v>11617</v>
      </c>
      <c r="B122" t="s">
        <v>24</v>
      </c>
      <c r="C122" t="s">
        <v>24</v>
      </c>
      <c r="D122" t="s">
        <v>14</v>
      </c>
      <c r="E122" t="str">
        <f t="shared" si="1"/>
        <v>Moderada(IPCA + 5%)</v>
      </c>
    </row>
    <row r="123" spans="1:5" x14ac:dyDescent="0.2">
      <c r="A123" t="s">
        <v>247</v>
      </c>
      <c r="B123">
        <v>1</v>
      </c>
    </row>
    <row r="124" spans="1:5" outlineLevel="1" x14ac:dyDescent="0.2">
      <c r="A124">
        <v>13879</v>
      </c>
      <c r="B124" t="s">
        <v>41</v>
      </c>
      <c r="C124" t="s">
        <v>41</v>
      </c>
      <c r="D124" t="s">
        <v>17</v>
      </c>
      <c r="E124" t="str">
        <f t="shared" si="1"/>
        <v>Offshore(5% a.a.)</v>
      </c>
    </row>
    <row r="125" spans="1:5" x14ac:dyDescent="0.2">
      <c r="A125" t="s">
        <v>247</v>
      </c>
      <c r="B125">
        <v>3</v>
      </c>
    </row>
    <row r="126" spans="1:5" outlineLevel="1" x14ac:dyDescent="0.2">
      <c r="A126">
        <v>14016</v>
      </c>
      <c r="B126" t="s">
        <v>24</v>
      </c>
      <c r="C126" t="s">
        <v>10</v>
      </c>
      <c r="D126" t="s">
        <v>14</v>
      </c>
      <c r="E126" t="str">
        <f t="shared" si="1"/>
        <v>Moderada (IPCA + 5%)</v>
      </c>
    </row>
    <row r="127" spans="1:5" outlineLevel="1" x14ac:dyDescent="0.2">
      <c r="A127">
        <v>14010</v>
      </c>
      <c r="B127" t="s">
        <v>245</v>
      </c>
      <c r="C127" t="s">
        <v>41</v>
      </c>
      <c r="D127" t="s">
        <v>17</v>
      </c>
      <c r="E127" t="str">
        <f t="shared" si="1"/>
        <v>Offshore(5% a.a.)</v>
      </c>
    </row>
    <row r="128" spans="1:5" outlineLevel="1" x14ac:dyDescent="0.2">
      <c r="A128">
        <v>14318</v>
      </c>
      <c r="B128" t="s">
        <v>245</v>
      </c>
      <c r="C128" t="s">
        <v>41</v>
      </c>
      <c r="D128" t="s">
        <v>17</v>
      </c>
      <c r="E128" t="str">
        <f t="shared" si="1"/>
        <v>Offshore(5% a.a.)</v>
      </c>
    </row>
    <row r="129" spans="1:5" x14ac:dyDescent="0.2">
      <c r="A129" t="s">
        <v>247</v>
      </c>
      <c r="B129">
        <v>2</v>
      </c>
    </row>
    <row r="130" spans="1:5" outlineLevel="1" x14ac:dyDescent="0.2">
      <c r="A130">
        <v>14010</v>
      </c>
      <c r="B130" t="s">
        <v>245</v>
      </c>
      <c r="C130" t="s">
        <v>41</v>
      </c>
      <c r="D130" t="s">
        <v>17</v>
      </c>
      <c r="E130" t="str">
        <f t="shared" si="1"/>
        <v>Offshore(5% a.a.)</v>
      </c>
    </row>
    <row r="131" spans="1:5" outlineLevel="1" x14ac:dyDescent="0.2">
      <c r="A131">
        <v>14318</v>
      </c>
      <c r="B131" t="s">
        <v>245</v>
      </c>
      <c r="C131" t="s">
        <v>41</v>
      </c>
      <c r="D131" t="s">
        <v>17</v>
      </c>
      <c r="E131" t="str">
        <f t="shared" si="1"/>
        <v>Offshore(5% a.a.)</v>
      </c>
    </row>
    <row r="132" spans="1:5" x14ac:dyDescent="0.2">
      <c r="A132" t="s">
        <v>247</v>
      </c>
      <c r="B132">
        <v>1</v>
      </c>
    </row>
    <row r="133" spans="1:5" outlineLevel="1" x14ac:dyDescent="0.2">
      <c r="A133">
        <v>11267</v>
      </c>
      <c r="B133" t="s">
        <v>24</v>
      </c>
      <c r="C133" t="s">
        <v>24</v>
      </c>
      <c r="D133" t="s">
        <v>14</v>
      </c>
      <c r="E133" t="str">
        <f t="shared" ref="E133:E195" si="2">C133 &amp; "("&amp; D133&amp;")"</f>
        <v>Moderada(IPCA + 5%)</v>
      </c>
    </row>
    <row r="134" spans="1:5" x14ac:dyDescent="0.2">
      <c r="A134" t="s">
        <v>247</v>
      </c>
      <c r="B134">
        <v>1</v>
      </c>
    </row>
    <row r="135" spans="1:5" outlineLevel="1" x14ac:dyDescent="0.2">
      <c r="A135">
        <v>13938</v>
      </c>
      <c r="B135" t="s">
        <v>24</v>
      </c>
      <c r="C135" t="s">
        <v>24</v>
      </c>
      <c r="D135" t="s">
        <v>14</v>
      </c>
      <c r="E135" t="str">
        <f t="shared" si="2"/>
        <v>Moderada(IPCA + 5%)</v>
      </c>
    </row>
    <row r="136" spans="1:5" x14ac:dyDescent="0.2">
      <c r="A136" t="s">
        <v>247</v>
      </c>
      <c r="B136">
        <v>1</v>
      </c>
    </row>
    <row r="137" spans="1:5" outlineLevel="1" x14ac:dyDescent="0.2">
      <c r="A137">
        <v>12547</v>
      </c>
      <c r="B137" t="s">
        <v>24</v>
      </c>
      <c r="C137" t="s">
        <v>24</v>
      </c>
      <c r="D137" t="s">
        <v>14</v>
      </c>
      <c r="E137" t="str">
        <f t="shared" si="2"/>
        <v>Moderada(IPCA + 5%)</v>
      </c>
    </row>
    <row r="138" spans="1:5" x14ac:dyDescent="0.2">
      <c r="A138" t="s">
        <v>247</v>
      </c>
      <c r="B138">
        <v>1</v>
      </c>
    </row>
    <row r="139" spans="1:5" outlineLevel="1" x14ac:dyDescent="0.2">
      <c r="A139">
        <v>12929</v>
      </c>
      <c r="B139" t="s">
        <v>24</v>
      </c>
      <c r="C139" t="s">
        <v>24</v>
      </c>
      <c r="D139" t="s">
        <v>14</v>
      </c>
      <c r="E139" t="str">
        <f t="shared" si="2"/>
        <v>Moderada(IPCA + 5%)</v>
      </c>
    </row>
    <row r="140" spans="1:5" x14ac:dyDescent="0.2">
      <c r="A140" t="s">
        <v>247</v>
      </c>
      <c r="B140">
        <v>1</v>
      </c>
    </row>
    <row r="141" spans="1:5" outlineLevel="1" x14ac:dyDescent="0.2">
      <c r="A141">
        <v>13741</v>
      </c>
      <c r="B141" t="s">
        <v>24</v>
      </c>
      <c r="C141" t="s">
        <v>24</v>
      </c>
      <c r="D141" t="s">
        <v>14</v>
      </c>
      <c r="E141" t="str">
        <f t="shared" si="2"/>
        <v>Moderada(IPCA + 5%)</v>
      </c>
    </row>
    <row r="142" spans="1:5" x14ac:dyDescent="0.2">
      <c r="A142" t="s">
        <v>247</v>
      </c>
      <c r="B142">
        <v>2</v>
      </c>
    </row>
    <row r="143" spans="1:5" outlineLevel="1" x14ac:dyDescent="0.2">
      <c r="A143">
        <v>11362</v>
      </c>
      <c r="B143" t="s">
        <v>24</v>
      </c>
      <c r="C143" t="s">
        <v>24</v>
      </c>
      <c r="D143" t="s">
        <v>14</v>
      </c>
      <c r="E143" t="str">
        <f t="shared" si="2"/>
        <v>Moderada(IPCA + 5%)</v>
      </c>
    </row>
    <row r="144" spans="1:5" outlineLevel="1" x14ac:dyDescent="0.2">
      <c r="A144">
        <v>11509</v>
      </c>
      <c r="B144" t="s">
        <v>26</v>
      </c>
      <c r="C144" t="s">
        <v>26</v>
      </c>
      <c r="D144" t="s">
        <v>42</v>
      </c>
      <c r="E144" t="str">
        <f t="shared" si="2"/>
        <v>Agressiva(IBOVESPA)</v>
      </c>
    </row>
    <row r="145" spans="1:5" x14ac:dyDescent="0.2">
      <c r="A145" t="s">
        <v>247</v>
      </c>
      <c r="B145">
        <v>1</v>
      </c>
    </row>
    <row r="146" spans="1:5" outlineLevel="1" x14ac:dyDescent="0.2">
      <c r="A146">
        <v>13466</v>
      </c>
      <c r="B146" t="s">
        <v>24</v>
      </c>
      <c r="C146" t="s">
        <v>24</v>
      </c>
      <c r="D146" t="s">
        <v>14</v>
      </c>
      <c r="E146" t="str">
        <f t="shared" si="2"/>
        <v>Moderada(IPCA + 5%)</v>
      </c>
    </row>
    <row r="147" spans="1:5" x14ac:dyDescent="0.2">
      <c r="A147" t="s">
        <v>247</v>
      </c>
      <c r="B147">
        <v>2</v>
      </c>
    </row>
    <row r="148" spans="1:5" outlineLevel="1" x14ac:dyDescent="0.2">
      <c r="A148">
        <v>13383</v>
      </c>
      <c r="B148" t="s">
        <v>24</v>
      </c>
      <c r="C148" t="s">
        <v>24</v>
      </c>
      <c r="D148" t="s">
        <v>14</v>
      </c>
      <c r="E148" t="str">
        <f t="shared" si="2"/>
        <v>Moderada(IPCA + 5%)</v>
      </c>
    </row>
    <row r="149" spans="1:5" outlineLevel="1" x14ac:dyDescent="0.2">
      <c r="A149">
        <v>13775</v>
      </c>
      <c r="B149" t="s">
        <v>41</v>
      </c>
      <c r="C149" t="s">
        <v>41</v>
      </c>
      <c r="D149" t="s">
        <v>17</v>
      </c>
      <c r="E149" t="str">
        <f t="shared" si="2"/>
        <v>Offshore(5% a.a.)</v>
      </c>
    </row>
    <row r="150" spans="1:5" x14ac:dyDescent="0.2">
      <c r="A150" t="s">
        <v>247</v>
      </c>
      <c r="B150">
        <v>1</v>
      </c>
    </row>
    <row r="151" spans="1:5" outlineLevel="1" x14ac:dyDescent="0.2">
      <c r="A151">
        <v>14069</v>
      </c>
      <c r="B151" t="s">
        <v>24</v>
      </c>
      <c r="C151" t="s">
        <v>10</v>
      </c>
      <c r="D151" t="s">
        <v>14</v>
      </c>
      <c r="E151" t="str">
        <f t="shared" si="2"/>
        <v>Moderada (IPCA + 5%)</v>
      </c>
    </row>
    <row r="152" spans="1:5" x14ac:dyDescent="0.2">
      <c r="A152" t="s">
        <v>247</v>
      </c>
      <c r="B152">
        <v>2</v>
      </c>
    </row>
    <row r="153" spans="1:5" outlineLevel="1" x14ac:dyDescent="0.2">
      <c r="A153">
        <v>12058</v>
      </c>
      <c r="B153" t="s">
        <v>25</v>
      </c>
      <c r="C153" t="s">
        <v>25</v>
      </c>
      <c r="D153" t="s">
        <v>12</v>
      </c>
      <c r="E153" t="str">
        <f t="shared" si="2"/>
        <v>Conservadora(CDI)</v>
      </c>
    </row>
    <row r="154" spans="1:5" outlineLevel="1" x14ac:dyDescent="0.2">
      <c r="A154">
        <v>12061</v>
      </c>
      <c r="B154" t="s">
        <v>24</v>
      </c>
      <c r="C154" t="s">
        <v>24</v>
      </c>
      <c r="D154" t="s">
        <v>14</v>
      </c>
      <c r="E154" t="str">
        <f t="shared" si="2"/>
        <v>Moderada(IPCA + 5%)</v>
      </c>
    </row>
    <row r="155" spans="1:5" x14ac:dyDescent="0.2">
      <c r="A155" t="s">
        <v>247</v>
      </c>
      <c r="B155">
        <v>1</v>
      </c>
    </row>
    <row r="156" spans="1:5" outlineLevel="1" x14ac:dyDescent="0.2">
      <c r="A156">
        <v>12272</v>
      </c>
      <c r="B156" t="s">
        <v>25</v>
      </c>
      <c r="C156" t="s">
        <v>25</v>
      </c>
      <c r="D156" t="s">
        <v>13</v>
      </c>
      <c r="E156" t="str">
        <f t="shared" si="2"/>
        <v>Conservadora(IPCA + 3%)</v>
      </c>
    </row>
    <row r="157" spans="1:5" x14ac:dyDescent="0.2">
      <c r="A157" t="s">
        <v>247</v>
      </c>
      <c r="B157">
        <v>3</v>
      </c>
    </row>
    <row r="158" spans="1:5" outlineLevel="1" x14ac:dyDescent="0.2">
      <c r="A158">
        <v>13663</v>
      </c>
      <c r="B158" t="s">
        <v>24</v>
      </c>
      <c r="C158" t="s">
        <v>24</v>
      </c>
      <c r="D158" t="s">
        <v>14</v>
      </c>
      <c r="E158" t="str">
        <f t="shared" si="2"/>
        <v>Moderada(IPCA + 5%)</v>
      </c>
    </row>
    <row r="159" spans="1:5" outlineLevel="1" x14ac:dyDescent="0.2">
      <c r="A159">
        <v>12315</v>
      </c>
      <c r="B159" t="s">
        <v>58</v>
      </c>
      <c r="C159" t="s">
        <v>26</v>
      </c>
      <c r="D159" t="s">
        <v>15</v>
      </c>
      <c r="E159" t="str">
        <f t="shared" si="2"/>
        <v>Agressiva(IPCA + 7%)</v>
      </c>
    </row>
    <row r="160" spans="1:5" outlineLevel="1" x14ac:dyDescent="0.2">
      <c r="A160">
        <v>11979</v>
      </c>
      <c r="B160" t="s">
        <v>26</v>
      </c>
      <c r="C160" t="s">
        <v>26</v>
      </c>
      <c r="D160" t="s">
        <v>42</v>
      </c>
      <c r="E160" t="str">
        <f t="shared" si="2"/>
        <v>Agressiva(IBOVESPA)</v>
      </c>
    </row>
    <row r="161" spans="1:5" x14ac:dyDescent="0.2">
      <c r="A161" t="s">
        <v>247</v>
      </c>
      <c r="B161">
        <v>2</v>
      </c>
    </row>
    <row r="162" spans="1:5" outlineLevel="1" x14ac:dyDescent="0.2">
      <c r="A162">
        <v>13656</v>
      </c>
      <c r="B162" t="s">
        <v>245</v>
      </c>
      <c r="C162" t="s">
        <v>24</v>
      </c>
      <c r="D162" t="s">
        <v>14</v>
      </c>
      <c r="E162" t="str">
        <f t="shared" si="2"/>
        <v>Moderada(IPCA + 5%)</v>
      </c>
    </row>
    <row r="163" spans="1:5" outlineLevel="1" x14ac:dyDescent="0.2">
      <c r="A163">
        <v>13647</v>
      </c>
      <c r="B163" t="s">
        <v>245</v>
      </c>
      <c r="C163" t="s">
        <v>10</v>
      </c>
      <c r="D163" t="s">
        <v>14</v>
      </c>
      <c r="E163" t="str">
        <f t="shared" si="2"/>
        <v>Moderada (IPCA + 5%)</v>
      </c>
    </row>
    <row r="164" spans="1:5" x14ac:dyDescent="0.2">
      <c r="A164" t="s">
        <v>247</v>
      </c>
      <c r="B164">
        <v>3</v>
      </c>
    </row>
    <row r="165" spans="1:5" outlineLevel="1" x14ac:dyDescent="0.2">
      <c r="A165">
        <v>11892</v>
      </c>
      <c r="B165" t="s">
        <v>24</v>
      </c>
      <c r="C165" t="s">
        <v>24</v>
      </c>
      <c r="D165" t="s">
        <v>14</v>
      </c>
      <c r="E165" t="str">
        <f t="shared" si="2"/>
        <v>Moderada(IPCA + 5%)</v>
      </c>
    </row>
    <row r="166" spans="1:5" outlineLevel="1" x14ac:dyDescent="0.2">
      <c r="A166">
        <v>11895</v>
      </c>
      <c r="B166" t="s">
        <v>26</v>
      </c>
      <c r="C166" t="s">
        <v>26</v>
      </c>
      <c r="D166" t="s">
        <v>42</v>
      </c>
      <c r="E166" t="str">
        <f t="shared" si="2"/>
        <v>Agressiva(IBOVESPA)</v>
      </c>
    </row>
    <row r="167" spans="1:5" outlineLevel="1" x14ac:dyDescent="0.2">
      <c r="A167">
        <v>11898</v>
      </c>
      <c r="B167" t="s">
        <v>41</v>
      </c>
      <c r="C167" t="s">
        <v>41</v>
      </c>
      <c r="D167" t="s">
        <v>17</v>
      </c>
      <c r="E167" t="str">
        <f t="shared" si="2"/>
        <v>Offshore(5% a.a.)</v>
      </c>
    </row>
    <row r="168" spans="1:5" x14ac:dyDescent="0.2">
      <c r="A168" t="s">
        <v>247</v>
      </c>
      <c r="B168">
        <v>3</v>
      </c>
    </row>
    <row r="169" spans="1:5" outlineLevel="1" x14ac:dyDescent="0.2">
      <c r="A169">
        <v>12675</v>
      </c>
      <c r="B169" t="s">
        <v>24</v>
      </c>
      <c r="C169" t="s">
        <v>24</v>
      </c>
      <c r="D169" t="s">
        <v>14</v>
      </c>
      <c r="E169" t="str">
        <f t="shared" si="2"/>
        <v>Moderada(IPCA + 5%)</v>
      </c>
    </row>
    <row r="170" spans="1:5" outlineLevel="1" x14ac:dyDescent="0.2">
      <c r="A170">
        <v>13469</v>
      </c>
      <c r="B170" t="s">
        <v>41</v>
      </c>
      <c r="C170" t="s">
        <v>41</v>
      </c>
      <c r="D170" t="s">
        <v>17</v>
      </c>
      <c r="E170" t="str">
        <f t="shared" si="2"/>
        <v>Offshore(5% a.a.)</v>
      </c>
    </row>
    <row r="171" spans="1:5" outlineLevel="1" x14ac:dyDescent="0.2">
      <c r="A171">
        <v>12693</v>
      </c>
      <c r="B171" t="s">
        <v>41</v>
      </c>
      <c r="C171" t="s">
        <v>41</v>
      </c>
      <c r="D171" t="s">
        <v>17</v>
      </c>
      <c r="E171" t="str">
        <f t="shared" si="2"/>
        <v>Offshore(5% a.a.)</v>
      </c>
    </row>
    <row r="172" spans="1:5" x14ac:dyDescent="0.2">
      <c r="A172" t="s">
        <v>247</v>
      </c>
      <c r="B172">
        <v>2</v>
      </c>
    </row>
    <row r="173" spans="1:5" outlineLevel="1" x14ac:dyDescent="0.2">
      <c r="A173">
        <v>13644</v>
      </c>
      <c r="B173" t="s">
        <v>24</v>
      </c>
      <c r="C173" t="s">
        <v>10</v>
      </c>
      <c r="D173" t="s">
        <v>14</v>
      </c>
      <c r="E173" t="str">
        <f t="shared" si="2"/>
        <v>Moderada (IPCA + 5%)</v>
      </c>
    </row>
    <row r="174" spans="1:5" outlineLevel="1" x14ac:dyDescent="0.2">
      <c r="A174">
        <v>13928</v>
      </c>
      <c r="B174" t="s">
        <v>41</v>
      </c>
      <c r="C174" t="s">
        <v>10</v>
      </c>
      <c r="D174" t="s">
        <v>14</v>
      </c>
      <c r="E174" t="str">
        <f t="shared" si="2"/>
        <v>Moderada (IPCA + 5%)</v>
      </c>
    </row>
    <row r="175" spans="1:5" x14ac:dyDescent="0.2">
      <c r="A175" t="s">
        <v>247</v>
      </c>
      <c r="B175">
        <v>1</v>
      </c>
    </row>
    <row r="176" spans="1:5" outlineLevel="1" x14ac:dyDescent="0.2">
      <c r="A176">
        <v>12449</v>
      </c>
      <c r="B176" t="s">
        <v>24</v>
      </c>
      <c r="C176" t="s">
        <v>24</v>
      </c>
      <c r="D176" t="s">
        <v>14</v>
      </c>
      <c r="E176" t="str">
        <f t="shared" si="2"/>
        <v>Moderada(IPCA + 5%)</v>
      </c>
    </row>
    <row r="177" spans="1:5" x14ac:dyDescent="0.2">
      <c r="A177" t="s">
        <v>247</v>
      </c>
      <c r="B177">
        <v>1</v>
      </c>
    </row>
    <row r="178" spans="1:5" outlineLevel="1" x14ac:dyDescent="0.2">
      <c r="A178">
        <v>12488</v>
      </c>
      <c r="B178" t="s">
        <v>24</v>
      </c>
      <c r="C178" t="s">
        <v>24</v>
      </c>
      <c r="D178" t="s">
        <v>14</v>
      </c>
      <c r="E178" t="str">
        <f t="shared" si="2"/>
        <v>Moderada(IPCA + 5%)</v>
      </c>
    </row>
    <row r="179" spans="1:5" x14ac:dyDescent="0.2">
      <c r="A179" t="s">
        <v>247</v>
      </c>
      <c r="B179">
        <v>1</v>
      </c>
    </row>
    <row r="180" spans="1:5" outlineLevel="1" x14ac:dyDescent="0.2">
      <c r="A180">
        <v>12079</v>
      </c>
      <c r="B180" t="s">
        <v>24</v>
      </c>
      <c r="C180" t="s">
        <v>24</v>
      </c>
      <c r="D180" t="s">
        <v>14</v>
      </c>
      <c r="E180" t="str">
        <f t="shared" si="2"/>
        <v>Moderada(IPCA + 5%)</v>
      </c>
    </row>
    <row r="181" spans="1:5" x14ac:dyDescent="0.2">
      <c r="A181" t="s">
        <v>247</v>
      </c>
      <c r="B181">
        <v>2</v>
      </c>
    </row>
    <row r="182" spans="1:5" outlineLevel="1" x14ac:dyDescent="0.2">
      <c r="A182">
        <v>13690</v>
      </c>
      <c r="B182" t="s">
        <v>24</v>
      </c>
      <c r="C182" t="s">
        <v>25</v>
      </c>
      <c r="D182" t="s">
        <v>14</v>
      </c>
      <c r="E182" t="str">
        <f t="shared" si="2"/>
        <v>Conservadora(IPCA + 5%)</v>
      </c>
    </row>
    <row r="183" spans="1:5" outlineLevel="1" x14ac:dyDescent="0.2">
      <c r="A183">
        <v>13790</v>
      </c>
      <c r="B183" t="s">
        <v>41</v>
      </c>
      <c r="C183" t="s">
        <v>41</v>
      </c>
      <c r="D183" t="s">
        <v>17</v>
      </c>
      <c r="E183" t="str">
        <f t="shared" si="2"/>
        <v>Offshore(5% a.a.)</v>
      </c>
    </row>
    <row r="184" spans="1:5" x14ac:dyDescent="0.2">
      <c r="A184" t="s">
        <v>247</v>
      </c>
      <c r="B184">
        <v>2</v>
      </c>
    </row>
    <row r="185" spans="1:5" outlineLevel="1" x14ac:dyDescent="0.2">
      <c r="A185">
        <v>13684</v>
      </c>
      <c r="B185" t="s">
        <v>24</v>
      </c>
      <c r="C185" t="s">
        <v>24</v>
      </c>
      <c r="D185" t="s">
        <v>14</v>
      </c>
      <c r="E185" t="str">
        <f t="shared" si="2"/>
        <v>Moderada(IPCA + 5%)</v>
      </c>
    </row>
    <row r="186" spans="1:5" outlineLevel="1" x14ac:dyDescent="0.2">
      <c r="A186">
        <v>11841</v>
      </c>
      <c r="B186" t="s">
        <v>41</v>
      </c>
      <c r="C186" t="s">
        <v>41</v>
      </c>
      <c r="D186" t="s">
        <v>17</v>
      </c>
      <c r="E186" t="str">
        <f t="shared" si="2"/>
        <v>Offshore(5% a.a.)</v>
      </c>
    </row>
    <row r="187" spans="1:5" x14ac:dyDescent="0.2">
      <c r="A187" t="s">
        <v>247</v>
      </c>
      <c r="B187">
        <v>1</v>
      </c>
    </row>
    <row r="188" spans="1:5" outlineLevel="1" x14ac:dyDescent="0.2">
      <c r="A188">
        <v>12076</v>
      </c>
      <c r="B188" t="s">
        <v>24</v>
      </c>
      <c r="C188" t="s">
        <v>24</v>
      </c>
      <c r="D188" t="s">
        <v>14</v>
      </c>
      <c r="E188" t="str">
        <f t="shared" si="2"/>
        <v>Moderada(IPCA + 5%)</v>
      </c>
    </row>
    <row r="189" spans="1:5" x14ac:dyDescent="0.2">
      <c r="A189" t="s">
        <v>247</v>
      </c>
      <c r="B189">
        <v>2</v>
      </c>
    </row>
    <row r="190" spans="1:5" outlineLevel="1" x14ac:dyDescent="0.2">
      <c r="A190">
        <v>11630</v>
      </c>
      <c r="B190" t="s">
        <v>245</v>
      </c>
      <c r="C190" t="s">
        <v>24</v>
      </c>
      <c r="D190" t="s">
        <v>14</v>
      </c>
      <c r="E190" t="str">
        <f t="shared" si="2"/>
        <v>Moderada(IPCA + 5%)</v>
      </c>
    </row>
    <row r="191" spans="1:5" outlineLevel="1" x14ac:dyDescent="0.2">
      <c r="A191">
        <v>14218</v>
      </c>
      <c r="B191" t="s">
        <v>245</v>
      </c>
      <c r="C191" t="s">
        <v>24</v>
      </c>
      <c r="D191" t="s">
        <v>14</v>
      </c>
      <c r="E191" t="str">
        <f t="shared" si="2"/>
        <v>Moderada(IPCA + 5%)</v>
      </c>
    </row>
    <row r="193" spans="1:5" ht="16" thickBot="1" x14ac:dyDescent="0.25">
      <c r="A193" s="69" t="s">
        <v>243</v>
      </c>
    </row>
    <row r="194" spans="1:5" x14ac:dyDescent="0.2">
      <c r="A194" t="s">
        <v>247</v>
      </c>
      <c r="B194">
        <v>2</v>
      </c>
    </row>
    <row r="195" spans="1:5" outlineLevel="1" x14ac:dyDescent="0.2">
      <c r="A195">
        <v>11434</v>
      </c>
      <c r="B195" t="s">
        <v>24</v>
      </c>
      <c r="C195" t="s">
        <v>10</v>
      </c>
      <c r="D195" t="s">
        <v>14</v>
      </c>
      <c r="E195" t="str">
        <f t="shared" si="2"/>
        <v>Moderada (IPCA + 5%)</v>
      </c>
    </row>
    <row r="196" spans="1:5" outlineLevel="1" x14ac:dyDescent="0.2">
      <c r="A196">
        <v>14478</v>
      </c>
      <c r="B196" t="s">
        <v>41</v>
      </c>
    </row>
    <row r="197" spans="1:5" x14ac:dyDescent="0.2">
      <c r="A197" s="35" t="s">
        <v>247</v>
      </c>
      <c r="B197">
        <v>1</v>
      </c>
    </row>
    <row r="198" spans="1:5" outlineLevel="1" x14ac:dyDescent="0.2">
      <c r="A198">
        <v>11455</v>
      </c>
      <c r="B198" t="s">
        <v>24</v>
      </c>
      <c r="C198" t="s">
        <v>10</v>
      </c>
      <c r="D198" t="s">
        <v>12</v>
      </c>
      <c r="E198" t="str">
        <f t="shared" ref="E198:E259" si="3">C198 &amp; "("&amp; D198&amp;")"</f>
        <v>Moderada (CDI)</v>
      </c>
    </row>
    <row r="199" spans="1:5" x14ac:dyDescent="0.2">
      <c r="A199" s="35" t="s">
        <v>247</v>
      </c>
      <c r="B199">
        <v>1</v>
      </c>
    </row>
    <row r="200" spans="1:5" outlineLevel="1" x14ac:dyDescent="0.2">
      <c r="A200">
        <v>11570</v>
      </c>
      <c r="B200" t="s">
        <v>41</v>
      </c>
      <c r="C200" t="s">
        <v>41</v>
      </c>
      <c r="D200" t="s">
        <v>17</v>
      </c>
      <c r="E200" t="str">
        <f t="shared" si="3"/>
        <v>Offshore(5% a.a.)</v>
      </c>
    </row>
    <row r="201" spans="1:5" x14ac:dyDescent="0.2">
      <c r="A201" s="35" t="s">
        <v>247</v>
      </c>
      <c r="B201">
        <v>1</v>
      </c>
    </row>
    <row r="202" spans="1:5" outlineLevel="1" x14ac:dyDescent="0.2">
      <c r="A202">
        <v>12462</v>
      </c>
      <c r="B202" t="s">
        <v>25</v>
      </c>
      <c r="C202" t="s">
        <v>25</v>
      </c>
      <c r="D202" t="s">
        <v>13</v>
      </c>
      <c r="E202" t="str">
        <f t="shared" si="3"/>
        <v>Conservadora(IPCA + 3%)</v>
      </c>
    </row>
    <row r="203" spans="1:5" x14ac:dyDescent="0.2">
      <c r="A203" s="35" t="s">
        <v>247</v>
      </c>
      <c r="B203">
        <v>1</v>
      </c>
    </row>
    <row r="204" spans="1:5" outlineLevel="1" x14ac:dyDescent="0.2">
      <c r="A204">
        <v>14354</v>
      </c>
      <c r="B204" t="s">
        <v>41</v>
      </c>
      <c r="C204" t="s">
        <v>41</v>
      </c>
      <c r="D204" t="s">
        <v>17</v>
      </c>
      <c r="E204" t="str">
        <f t="shared" si="3"/>
        <v>Offshore(5% a.a.)</v>
      </c>
    </row>
    <row r="205" spans="1:5" x14ac:dyDescent="0.2">
      <c r="A205" s="35" t="s">
        <v>247</v>
      </c>
      <c r="B205">
        <v>1</v>
      </c>
    </row>
    <row r="206" spans="1:5" outlineLevel="1" x14ac:dyDescent="0.2">
      <c r="A206">
        <v>12392</v>
      </c>
      <c r="B206" t="s">
        <v>24</v>
      </c>
      <c r="C206" t="s">
        <v>10</v>
      </c>
      <c r="D206" t="s">
        <v>14</v>
      </c>
      <c r="E206" t="str">
        <f t="shared" si="3"/>
        <v>Moderada (IPCA + 5%)</v>
      </c>
    </row>
    <row r="207" spans="1:5" x14ac:dyDescent="0.2">
      <c r="A207" s="35" t="s">
        <v>247</v>
      </c>
      <c r="B207">
        <v>2</v>
      </c>
    </row>
    <row r="208" spans="1:5" outlineLevel="1" x14ac:dyDescent="0.2">
      <c r="A208">
        <v>11543</v>
      </c>
      <c r="B208" t="s">
        <v>24</v>
      </c>
      <c r="C208" t="s">
        <v>10</v>
      </c>
      <c r="D208" t="s">
        <v>14</v>
      </c>
      <c r="E208" t="str">
        <f t="shared" si="3"/>
        <v>Moderada (IPCA + 5%)</v>
      </c>
    </row>
    <row r="209" spans="1:5" outlineLevel="1" x14ac:dyDescent="0.2">
      <c r="A209">
        <v>11430</v>
      </c>
      <c r="B209" t="s">
        <v>41</v>
      </c>
      <c r="C209" t="s">
        <v>41</v>
      </c>
      <c r="D209" t="s">
        <v>17</v>
      </c>
      <c r="E209" t="str">
        <f t="shared" si="3"/>
        <v>Offshore(5% a.a.)</v>
      </c>
    </row>
    <row r="210" spans="1:5" x14ac:dyDescent="0.2">
      <c r="A210" s="35" t="s">
        <v>247</v>
      </c>
      <c r="B210">
        <v>2</v>
      </c>
    </row>
    <row r="211" spans="1:5" outlineLevel="1" x14ac:dyDescent="0.2">
      <c r="A211">
        <v>12388</v>
      </c>
      <c r="B211" t="s">
        <v>24</v>
      </c>
      <c r="C211" t="s">
        <v>10</v>
      </c>
      <c r="D211" t="s">
        <v>14</v>
      </c>
      <c r="E211" t="str">
        <f t="shared" si="3"/>
        <v>Moderada (IPCA + 5%)</v>
      </c>
    </row>
    <row r="212" spans="1:5" outlineLevel="1" x14ac:dyDescent="0.2">
      <c r="A212">
        <v>12477</v>
      </c>
      <c r="B212" t="s">
        <v>41</v>
      </c>
      <c r="C212" t="s">
        <v>41</v>
      </c>
      <c r="D212" t="s">
        <v>17</v>
      </c>
      <c r="E212" t="str">
        <f t="shared" si="3"/>
        <v>Offshore(5% a.a.)</v>
      </c>
    </row>
    <row r="213" spans="1:5" x14ac:dyDescent="0.2">
      <c r="A213" s="35" t="s">
        <v>247</v>
      </c>
      <c r="B213">
        <v>2</v>
      </c>
    </row>
    <row r="214" spans="1:5" outlineLevel="1" x14ac:dyDescent="0.2">
      <c r="A214">
        <v>13590</v>
      </c>
      <c r="B214" t="s">
        <v>24</v>
      </c>
      <c r="C214" t="s">
        <v>10</v>
      </c>
      <c r="D214" t="s">
        <v>14</v>
      </c>
      <c r="E214" t="str">
        <f t="shared" si="3"/>
        <v>Moderada (IPCA + 5%)</v>
      </c>
    </row>
    <row r="215" spans="1:5" outlineLevel="1" x14ac:dyDescent="0.2">
      <c r="A215">
        <v>13885</v>
      </c>
      <c r="B215" t="s">
        <v>41</v>
      </c>
      <c r="C215" t="s">
        <v>41</v>
      </c>
      <c r="D215" t="s">
        <v>17</v>
      </c>
      <c r="E215" t="str">
        <f t="shared" si="3"/>
        <v>Offshore(5% a.a.)</v>
      </c>
    </row>
    <row r="216" spans="1:5" x14ac:dyDescent="0.2">
      <c r="A216" s="35" t="s">
        <v>247</v>
      </c>
      <c r="B216">
        <v>3</v>
      </c>
    </row>
    <row r="217" spans="1:5" outlineLevel="1" x14ac:dyDescent="0.2">
      <c r="A217">
        <v>12856</v>
      </c>
      <c r="B217" t="s">
        <v>24</v>
      </c>
      <c r="C217" t="s">
        <v>10</v>
      </c>
      <c r="D217" t="s">
        <v>12</v>
      </c>
      <c r="E217" t="str">
        <f t="shared" si="3"/>
        <v>Moderada (CDI)</v>
      </c>
    </row>
    <row r="218" spans="1:5" outlineLevel="1" x14ac:dyDescent="0.2">
      <c r="A218">
        <v>11695</v>
      </c>
      <c r="B218" t="s">
        <v>41</v>
      </c>
      <c r="C218" t="s">
        <v>41</v>
      </c>
      <c r="D218" t="s">
        <v>17</v>
      </c>
      <c r="E218" t="str">
        <f t="shared" si="3"/>
        <v>Offshore(5% a.a.)</v>
      </c>
    </row>
    <row r="219" spans="1:5" outlineLevel="1" x14ac:dyDescent="0.2">
      <c r="A219">
        <v>12866</v>
      </c>
      <c r="B219" t="s">
        <v>25</v>
      </c>
      <c r="C219" t="s">
        <v>25</v>
      </c>
      <c r="D219" t="s">
        <v>13</v>
      </c>
      <c r="E219" t="str">
        <f t="shared" si="3"/>
        <v>Conservadora(IPCA + 3%)</v>
      </c>
    </row>
    <row r="220" spans="1:5" x14ac:dyDescent="0.2">
      <c r="A220" s="35" t="s">
        <v>247</v>
      </c>
      <c r="B220">
        <v>3</v>
      </c>
    </row>
    <row r="221" spans="1:5" outlineLevel="1" x14ac:dyDescent="0.2">
      <c r="A221">
        <v>13544</v>
      </c>
      <c r="B221" t="s">
        <v>24</v>
      </c>
      <c r="C221" t="s">
        <v>10</v>
      </c>
      <c r="D221" t="s">
        <v>14</v>
      </c>
      <c r="E221" t="str">
        <f t="shared" si="3"/>
        <v>Moderada (IPCA + 5%)</v>
      </c>
    </row>
    <row r="222" spans="1:5" outlineLevel="1" x14ac:dyDescent="0.2">
      <c r="A222">
        <v>11737</v>
      </c>
      <c r="B222" t="s">
        <v>24</v>
      </c>
      <c r="C222" t="s">
        <v>10</v>
      </c>
      <c r="D222" t="s">
        <v>14</v>
      </c>
      <c r="E222" t="str">
        <f t="shared" si="3"/>
        <v>Moderada (IPCA + 5%)</v>
      </c>
    </row>
    <row r="223" spans="1:5" outlineLevel="1" x14ac:dyDescent="0.2">
      <c r="A223">
        <v>11866</v>
      </c>
      <c r="B223" t="s">
        <v>41</v>
      </c>
      <c r="C223" t="s">
        <v>41</v>
      </c>
      <c r="D223" t="s">
        <v>17</v>
      </c>
      <c r="E223" t="str">
        <f t="shared" si="3"/>
        <v>Offshore(5% a.a.)</v>
      </c>
    </row>
    <row r="224" spans="1:5" x14ac:dyDescent="0.2">
      <c r="A224" s="35" t="s">
        <v>247</v>
      </c>
      <c r="B224">
        <v>2</v>
      </c>
    </row>
    <row r="225" spans="1:5" outlineLevel="1" x14ac:dyDescent="0.2">
      <c r="A225">
        <v>12135</v>
      </c>
      <c r="B225" t="s">
        <v>24</v>
      </c>
      <c r="C225" t="s">
        <v>10</v>
      </c>
      <c r="D225" t="s">
        <v>14</v>
      </c>
      <c r="E225" t="str">
        <f t="shared" si="3"/>
        <v>Moderada (IPCA + 5%)</v>
      </c>
    </row>
    <row r="226" spans="1:5" outlineLevel="1" x14ac:dyDescent="0.2">
      <c r="A226">
        <v>13751</v>
      </c>
      <c r="B226" t="s">
        <v>41</v>
      </c>
      <c r="C226" t="s">
        <v>41</v>
      </c>
      <c r="D226" t="s">
        <v>17</v>
      </c>
      <c r="E226" t="str">
        <f t="shared" si="3"/>
        <v>Offshore(5% a.a.)</v>
      </c>
    </row>
    <row r="227" spans="1:5" x14ac:dyDescent="0.2">
      <c r="A227" s="35" t="s">
        <v>247</v>
      </c>
      <c r="B227">
        <v>1</v>
      </c>
    </row>
    <row r="228" spans="1:5" outlineLevel="1" x14ac:dyDescent="0.2">
      <c r="A228">
        <v>11755</v>
      </c>
      <c r="B228" t="s">
        <v>24</v>
      </c>
      <c r="C228" t="s">
        <v>10</v>
      </c>
      <c r="D228" t="s">
        <v>16</v>
      </c>
      <c r="E228" t="str">
        <f t="shared" si="3"/>
        <v>Moderada (12% a.a.)</v>
      </c>
    </row>
    <row r="229" spans="1:5" x14ac:dyDescent="0.2">
      <c r="A229" s="35" t="s">
        <v>247</v>
      </c>
      <c r="B229">
        <v>1</v>
      </c>
    </row>
    <row r="230" spans="1:5" outlineLevel="1" x14ac:dyDescent="0.2">
      <c r="A230">
        <v>13745</v>
      </c>
      <c r="B230" t="s">
        <v>24</v>
      </c>
      <c r="C230" t="s">
        <v>10</v>
      </c>
      <c r="D230" t="s">
        <v>16</v>
      </c>
      <c r="E230" t="str">
        <f t="shared" si="3"/>
        <v>Moderada (12% a.a.)</v>
      </c>
    </row>
    <row r="231" spans="1:5" x14ac:dyDescent="0.2">
      <c r="A231" s="35" t="s">
        <v>247</v>
      </c>
      <c r="B231">
        <v>2</v>
      </c>
    </row>
    <row r="232" spans="1:5" outlineLevel="1" x14ac:dyDescent="0.2">
      <c r="A232">
        <v>13853</v>
      </c>
      <c r="B232" t="s">
        <v>24</v>
      </c>
      <c r="C232" t="s">
        <v>10</v>
      </c>
      <c r="D232" t="s">
        <v>14</v>
      </c>
      <c r="E232" t="str">
        <f t="shared" si="3"/>
        <v>Moderada (IPCA + 5%)</v>
      </c>
    </row>
    <row r="233" spans="1:5" outlineLevel="1" x14ac:dyDescent="0.2">
      <c r="A233">
        <v>12654</v>
      </c>
      <c r="B233" t="s">
        <v>41</v>
      </c>
      <c r="C233" t="s">
        <v>41</v>
      </c>
      <c r="D233" t="s">
        <v>17</v>
      </c>
      <c r="E233" t="str">
        <f t="shared" si="3"/>
        <v>Offshore(5% a.a.)</v>
      </c>
    </row>
    <row r="234" spans="1:5" x14ac:dyDescent="0.2">
      <c r="A234" s="35" t="s">
        <v>247</v>
      </c>
      <c r="B234">
        <v>2</v>
      </c>
    </row>
    <row r="235" spans="1:5" outlineLevel="1" x14ac:dyDescent="0.2">
      <c r="A235">
        <v>11832</v>
      </c>
      <c r="B235" t="s">
        <v>24</v>
      </c>
      <c r="C235" t="s">
        <v>10</v>
      </c>
      <c r="D235" t="s">
        <v>14</v>
      </c>
      <c r="E235" t="str">
        <f t="shared" si="3"/>
        <v>Moderada (IPCA + 5%)</v>
      </c>
    </row>
    <row r="236" spans="1:5" outlineLevel="1" x14ac:dyDescent="0.2">
      <c r="A236">
        <v>13769</v>
      </c>
      <c r="B236" t="s">
        <v>41</v>
      </c>
      <c r="C236" t="s">
        <v>41</v>
      </c>
      <c r="D236" t="s">
        <v>17</v>
      </c>
      <c r="E236" t="str">
        <f t="shared" si="3"/>
        <v>Offshore(5% a.a.)</v>
      </c>
    </row>
    <row r="237" spans="1:5" x14ac:dyDescent="0.2">
      <c r="A237" s="35" t="s">
        <v>247</v>
      </c>
      <c r="B237">
        <v>4</v>
      </c>
    </row>
    <row r="238" spans="1:5" outlineLevel="1" x14ac:dyDescent="0.2">
      <c r="A238">
        <v>13766</v>
      </c>
      <c r="B238" t="s">
        <v>245</v>
      </c>
      <c r="C238" t="s">
        <v>11</v>
      </c>
      <c r="D238" t="s">
        <v>17</v>
      </c>
      <c r="E238" t="str">
        <f t="shared" si="3"/>
        <v>Offshore (5% a.a.)</v>
      </c>
    </row>
    <row r="239" spans="1:5" outlineLevel="1" x14ac:dyDescent="0.2">
      <c r="A239">
        <v>12429</v>
      </c>
      <c r="B239" t="s">
        <v>24</v>
      </c>
      <c r="C239" t="s">
        <v>10</v>
      </c>
      <c r="D239" t="s">
        <v>14</v>
      </c>
      <c r="E239" t="str">
        <f t="shared" si="3"/>
        <v>Moderada (IPCA + 5%)</v>
      </c>
    </row>
    <row r="240" spans="1:5" outlineLevel="1" x14ac:dyDescent="0.2">
      <c r="A240">
        <v>12440</v>
      </c>
      <c r="B240" t="s">
        <v>245</v>
      </c>
      <c r="C240" t="s">
        <v>10</v>
      </c>
      <c r="D240" t="s">
        <v>14</v>
      </c>
      <c r="E240" t="str">
        <f t="shared" si="3"/>
        <v>Moderada (IPCA + 5%)</v>
      </c>
    </row>
    <row r="241" spans="1:5" outlineLevel="1" x14ac:dyDescent="0.2">
      <c r="A241">
        <v>12436</v>
      </c>
      <c r="B241" t="s">
        <v>41</v>
      </c>
      <c r="C241" t="s">
        <v>41</v>
      </c>
      <c r="D241" t="s">
        <v>17</v>
      </c>
      <c r="E241" t="str">
        <f t="shared" si="3"/>
        <v>Offshore(5% a.a.)</v>
      </c>
    </row>
    <row r="242" spans="1:5" x14ac:dyDescent="0.2">
      <c r="A242" s="35" t="s">
        <v>247</v>
      </c>
      <c r="B242">
        <v>2</v>
      </c>
    </row>
    <row r="243" spans="1:5" outlineLevel="1" x14ac:dyDescent="0.2">
      <c r="A243">
        <v>13451</v>
      </c>
      <c r="B243" t="s">
        <v>24</v>
      </c>
      <c r="C243" t="s">
        <v>24</v>
      </c>
      <c r="D243" t="s">
        <v>14</v>
      </c>
      <c r="E243" t="str">
        <f t="shared" si="3"/>
        <v>Moderada(IPCA + 5%)</v>
      </c>
    </row>
    <row r="244" spans="1:5" outlineLevel="1" x14ac:dyDescent="0.2">
      <c r="A244">
        <v>11873</v>
      </c>
      <c r="B244" t="s">
        <v>41</v>
      </c>
      <c r="C244" t="s">
        <v>41</v>
      </c>
      <c r="D244" t="s">
        <v>17</v>
      </c>
      <c r="E244" t="str">
        <f t="shared" si="3"/>
        <v>Offshore(5% a.a.)</v>
      </c>
    </row>
    <row r="245" spans="1:5" x14ac:dyDescent="0.2">
      <c r="A245" s="35" t="s">
        <v>247</v>
      </c>
      <c r="B245">
        <v>2</v>
      </c>
    </row>
    <row r="246" spans="1:5" outlineLevel="1" x14ac:dyDescent="0.2">
      <c r="A246">
        <v>11261</v>
      </c>
      <c r="B246" t="s">
        <v>24</v>
      </c>
      <c r="C246" t="s">
        <v>10</v>
      </c>
      <c r="D246" t="s">
        <v>12</v>
      </c>
      <c r="E246" t="str">
        <f t="shared" si="3"/>
        <v>Moderada (CDI)</v>
      </c>
    </row>
    <row r="247" spans="1:5" outlineLevel="1" x14ac:dyDescent="0.2">
      <c r="A247">
        <v>13985</v>
      </c>
      <c r="B247" t="s">
        <v>41</v>
      </c>
      <c r="C247" t="s">
        <v>41</v>
      </c>
      <c r="D247" t="s">
        <v>17</v>
      </c>
      <c r="E247" t="str">
        <f t="shared" si="3"/>
        <v>Offshore(5% a.a.)</v>
      </c>
    </row>
    <row r="248" spans="1:5" x14ac:dyDescent="0.2">
      <c r="A248" s="35" t="s">
        <v>247</v>
      </c>
      <c r="B248">
        <v>1</v>
      </c>
    </row>
    <row r="249" spans="1:5" outlineLevel="1" x14ac:dyDescent="0.2">
      <c r="A249">
        <v>11497</v>
      </c>
      <c r="B249" t="s">
        <v>24</v>
      </c>
      <c r="C249" t="s">
        <v>10</v>
      </c>
      <c r="D249" t="s">
        <v>14</v>
      </c>
      <c r="E249" t="str">
        <f t="shared" si="3"/>
        <v>Moderada (IPCA + 5%)</v>
      </c>
    </row>
    <row r="250" spans="1:5" x14ac:dyDescent="0.2">
      <c r="A250" s="35" t="s">
        <v>247</v>
      </c>
      <c r="B250">
        <v>3</v>
      </c>
    </row>
    <row r="251" spans="1:5" outlineLevel="1" x14ac:dyDescent="0.2">
      <c r="A251">
        <v>13548</v>
      </c>
      <c r="B251" t="s">
        <v>24</v>
      </c>
      <c r="C251" t="s">
        <v>10</v>
      </c>
      <c r="D251" t="s">
        <v>14</v>
      </c>
      <c r="E251" t="str">
        <f t="shared" si="3"/>
        <v>Moderada (IPCA + 5%)</v>
      </c>
    </row>
    <row r="252" spans="1:5" outlineLevel="1" x14ac:dyDescent="0.2">
      <c r="A252">
        <v>11347</v>
      </c>
      <c r="B252" t="s">
        <v>26</v>
      </c>
      <c r="C252" t="s">
        <v>26</v>
      </c>
      <c r="D252" t="s">
        <v>42</v>
      </c>
      <c r="E252" t="str">
        <f t="shared" si="3"/>
        <v>Agressiva(IBOVESPA)</v>
      </c>
    </row>
    <row r="253" spans="1:5" outlineLevel="1" x14ac:dyDescent="0.2">
      <c r="A253">
        <v>11353</v>
      </c>
      <c r="B253" t="s">
        <v>41</v>
      </c>
      <c r="C253" t="s">
        <v>41</v>
      </c>
      <c r="D253" t="s">
        <v>17</v>
      </c>
      <c r="E253" t="str">
        <f t="shared" si="3"/>
        <v>Offshore(5% a.a.)</v>
      </c>
    </row>
    <row r="254" spans="1:5" x14ac:dyDescent="0.2">
      <c r="A254" s="35" t="s">
        <v>247</v>
      </c>
      <c r="B254">
        <v>2</v>
      </c>
    </row>
    <row r="255" spans="1:5" outlineLevel="1" x14ac:dyDescent="0.2">
      <c r="A255">
        <v>12097</v>
      </c>
      <c r="B255" t="s">
        <v>24</v>
      </c>
      <c r="C255" t="s">
        <v>10</v>
      </c>
      <c r="D255" t="s">
        <v>12</v>
      </c>
      <c r="E255" t="str">
        <f t="shared" si="3"/>
        <v>Moderada (CDI)</v>
      </c>
    </row>
    <row r="256" spans="1:5" outlineLevel="1" x14ac:dyDescent="0.2">
      <c r="A256">
        <v>12363</v>
      </c>
      <c r="B256" t="s">
        <v>41</v>
      </c>
      <c r="C256" t="s">
        <v>41</v>
      </c>
      <c r="D256" t="s">
        <v>17</v>
      </c>
      <c r="E256" t="str">
        <f t="shared" si="3"/>
        <v>Offshore(5% a.a.)</v>
      </c>
    </row>
    <row r="257" spans="1:5" x14ac:dyDescent="0.2">
      <c r="A257" s="35" t="s">
        <v>247</v>
      </c>
      <c r="B257">
        <v>2</v>
      </c>
    </row>
    <row r="258" spans="1:5" outlineLevel="1" x14ac:dyDescent="0.2">
      <c r="A258">
        <v>13042</v>
      </c>
      <c r="B258" t="s">
        <v>24</v>
      </c>
      <c r="C258" t="s">
        <v>10</v>
      </c>
      <c r="D258" t="s">
        <v>14</v>
      </c>
      <c r="E258" t="str">
        <f t="shared" si="3"/>
        <v>Moderada (IPCA + 5%)</v>
      </c>
    </row>
    <row r="259" spans="1:5" outlineLevel="1" x14ac:dyDescent="0.2">
      <c r="A259">
        <v>13036</v>
      </c>
      <c r="B259" t="s">
        <v>41</v>
      </c>
      <c r="C259" t="s">
        <v>41</v>
      </c>
      <c r="D259" t="s">
        <v>17</v>
      </c>
      <c r="E259" t="str">
        <f t="shared" si="3"/>
        <v>Offshore(5% a.a.)</v>
      </c>
    </row>
    <row r="261" spans="1:5" ht="16" thickBot="1" x14ac:dyDescent="0.25">
      <c r="A261" s="69" t="s">
        <v>244</v>
      </c>
    </row>
    <row r="262" spans="1:5" x14ac:dyDescent="0.2">
      <c r="A262" s="35" t="s">
        <v>247</v>
      </c>
      <c r="B262">
        <v>4</v>
      </c>
    </row>
    <row r="263" spans="1:5" outlineLevel="1" x14ac:dyDescent="0.2">
      <c r="A263">
        <v>12283</v>
      </c>
      <c r="B263" t="s">
        <v>245</v>
      </c>
      <c r="C263" t="s">
        <v>24</v>
      </c>
      <c r="D263" t="s">
        <v>14</v>
      </c>
      <c r="E263" t="str">
        <f t="shared" ref="E263:E324" si="4">C263 &amp; "("&amp; D263&amp;")"</f>
        <v>Moderada(IPCA + 5%)</v>
      </c>
    </row>
    <row r="264" spans="1:5" outlineLevel="1" x14ac:dyDescent="0.2">
      <c r="A264">
        <v>12269</v>
      </c>
      <c r="B264" t="s">
        <v>245</v>
      </c>
      <c r="C264" t="s">
        <v>24</v>
      </c>
      <c r="D264" t="s">
        <v>14</v>
      </c>
      <c r="E264" t="str">
        <f t="shared" si="4"/>
        <v>Moderada(IPCA + 5%)</v>
      </c>
    </row>
    <row r="265" spans="1:5" outlineLevel="1" x14ac:dyDescent="0.2">
      <c r="A265">
        <v>11719</v>
      </c>
      <c r="B265" t="s">
        <v>245</v>
      </c>
      <c r="C265" t="s">
        <v>41</v>
      </c>
      <c r="D265" t="s">
        <v>17</v>
      </c>
      <c r="E265" t="str">
        <f t="shared" si="4"/>
        <v>Offshore(5% a.a.)</v>
      </c>
    </row>
    <row r="266" spans="1:5" outlineLevel="1" x14ac:dyDescent="0.2">
      <c r="A266">
        <v>12420</v>
      </c>
      <c r="B266" t="s">
        <v>245</v>
      </c>
      <c r="C266" t="s">
        <v>24</v>
      </c>
      <c r="D266" t="s">
        <v>14</v>
      </c>
      <c r="E266" t="str">
        <f t="shared" si="4"/>
        <v>Moderada(IPCA + 5%)</v>
      </c>
    </row>
    <row r="267" spans="1:5" x14ac:dyDescent="0.2">
      <c r="A267" s="35" t="s">
        <v>247</v>
      </c>
      <c r="B267">
        <v>3</v>
      </c>
    </row>
    <row r="268" spans="1:5" outlineLevel="1" x14ac:dyDescent="0.2">
      <c r="A268">
        <v>13578</v>
      </c>
      <c r="B268" t="s">
        <v>245</v>
      </c>
      <c r="C268" t="s">
        <v>24</v>
      </c>
      <c r="D268" t="s">
        <v>14</v>
      </c>
      <c r="E268" t="str">
        <f t="shared" si="4"/>
        <v>Moderada(IPCA + 5%)</v>
      </c>
    </row>
    <row r="269" spans="1:5" outlineLevel="1" x14ac:dyDescent="0.2">
      <c r="A269">
        <v>12162</v>
      </c>
      <c r="B269" t="s">
        <v>245</v>
      </c>
      <c r="C269" t="s">
        <v>41</v>
      </c>
      <c r="D269" t="s">
        <v>17</v>
      </c>
      <c r="E269" t="str">
        <f t="shared" si="4"/>
        <v>Offshore(5% a.a.)</v>
      </c>
    </row>
    <row r="270" spans="1:5" outlineLevel="1" x14ac:dyDescent="0.2">
      <c r="A270">
        <v>14191</v>
      </c>
      <c r="B270" t="s">
        <v>245</v>
      </c>
      <c r="C270" t="s">
        <v>10</v>
      </c>
      <c r="D270" t="s">
        <v>14</v>
      </c>
      <c r="E270" t="str">
        <f t="shared" si="4"/>
        <v>Moderada (IPCA + 5%)</v>
      </c>
    </row>
    <row r="271" spans="1:5" x14ac:dyDescent="0.2">
      <c r="A271" s="35" t="s">
        <v>247</v>
      </c>
      <c r="B271">
        <v>1</v>
      </c>
    </row>
    <row r="272" spans="1:5" outlineLevel="1" x14ac:dyDescent="0.2">
      <c r="A272">
        <v>13793</v>
      </c>
      <c r="B272" t="s">
        <v>24</v>
      </c>
      <c r="C272" t="s">
        <v>24</v>
      </c>
      <c r="D272" t="s">
        <v>14</v>
      </c>
      <c r="E272" t="str">
        <f t="shared" si="4"/>
        <v>Moderada(IPCA + 5%)</v>
      </c>
    </row>
    <row r="273" spans="1:5" x14ac:dyDescent="0.2">
      <c r="A273" s="35" t="s">
        <v>247</v>
      </c>
      <c r="B273">
        <v>3</v>
      </c>
    </row>
    <row r="274" spans="1:5" outlineLevel="1" x14ac:dyDescent="0.2">
      <c r="A274">
        <v>14285</v>
      </c>
      <c r="B274" t="s">
        <v>245</v>
      </c>
      <c r="C274" t="s">
        <v>10</v>
      </c>
      <c r="D274" t="s">
        <v>14</v>
      </c>
      <c r="E274" t="str">
        <f t="shared" si="4"/>
        <v>Moderada (IPCA + 5%)</v>
      </c>
    </row>
    <row r="275" spans="1:5" outlineLevel="1" x14ac:dyDescent="0.2">
      <c r="A275">
        <v>14336</v>
      </c>
      <c r="B275" t="s">
        <v>245</v>
      </c>
      <c r="C275" t="s">
        <v>10</v>
      </c>
      <c r="D275" t="s">
        <v>14</v>
      </c>
      <c r="E275" t="str">
        <f t="shared" si="4"/>
        <v>Moderada (IPCA + 5%)</v>
      </c>
    </row>
    <row r="276" spans="1:5" outlineLevel="1" x14ac:dyDescent="0.2">
      <c r="A276">
        <v>14436</v>
      </c>
      <c r="B276" t="s">
        <v>245</v>
      </c>
      <c r="C276" t="s">
        <v>41</v>
      </c>
      <c r="D276" t="s">
        <v>17</v>
      </c>
      <c r="E276" t="str">
        <f t="shared" si="4"/>
        <v>Offshore(5% a.a.)</v>
      </c>
    </row>
    <row r="277" spans="1:5" x14ac:dyDescent="0.2">
      <c r="A277" s="35" t="s">
        <v>247</v>
      </c>
      <c r="B277">
        <v>1</v>
      </c>
    </row>
    <row r="278" spans="1:5" outlineLevel="1" x14ac:dyDescent="0.2">
      <c r="A278">
        <v>14339</v>
      </c>
      <c r="B278" t="s">
        <v>24</v>
      </c>
      <c r="C278" t="s">
        <v>10</v>
      </c>
      <c r="D278" t="s">
        <v>14</v>
      </c>
      <c r="E278" t="str">
        <f t="shared" si="4"/>
        <v>Moderada (IPCA + 5%)</v>
      </c>
    </row>
    <row r="279" spans="1:5" x14ac:dyDescent="0.2">
      <c r="A279" s="35" t="s">
        <v>247</v>
      </c>
      <c r="B279">
        <v>1</v>
      </c>
    </row>
    <row r="280" spans="1:5" outlineLevel="1" x14ac:dyDescent="0.2">
      <c r="A280">
        <v>14225</v>
      </c>
      <c r="B280" t="s">
        <v>24</v>
      </c>
      <c r="C280" t="s">
        <v>10</v>
      </c>
      <c r="D280" t="s">
        <v>14</v>
      </c>
      <c r="E280" t="str">
        <f t="shared" si="4"/>
        <v>Moderada (IPCA + 5%)</v>
      </c>
    </row>
    <row r="281" spans="1:5" x14ac:dyDescent="0.2">
      <c r="A281" s="35" t="s">
        <v>247</v>
      </c>
      <c r="B281">
        <v>1</v>
      </c>
    </row>
    <row r="282" spans="1:5" outlineLevel="1" x14ac:dyDescent="0.2">
      <c r="A282">
        <v>14252</v>
      </c>
      <c r="B282" t="s">
        <v>24</v>
      </c>
      <c r="C282" t="s">
        <v>10</v>
      </c>
      <c r="D282" t="s">
        <v>14</v>
      </c>
      <c r="E282" t="str">
        <f t="shared" si="4"/>
        <v>Moderada (IPCA + 5%)</v>
      </c>
    </row>
    <row r="283" spans="1:5" x14ac:dyDescent="0.2">
      <c r="A283" s="35" t="s">
        <v>247</v>
      </c>
      <c r="B283">
        <v>4</v>
      </c>
    </row>
    <row r="284" spans="1:5" outlineLevel="1" x14ac:dyDescent="0.2">
      <c r="A284">
        <v>12335</v>
      </c>
      <c r="B284" t="s">
        <v>245</v>
      </c>
      <c r="C284" t="s">
        <v>41</v>
      </c>
      <c r="D284" t="s">
        <v>17</v>
      </c>
      <c r="E284" t="str">
        <f>C284 &amp; "("&amp; D284&amp;")"</f>
        <v>Offshore(5% a.a.)</v>
      </c>
    </row>
    <row r="285" spans="1:5" outlineLevel="1" x14ac:dyDescent="0.2">
      <c r="A285">
        <v>12326</v>
      </c>
      <c r="B285" t="s">
        <v>24</v>
      </c>
      <c r="C285" t="s">
        <v>24</v>
      </c>
      <c r="D285" t="s">
        <v>14</v>
      </c>
      <c r="E285" t="str">
        <f t="shared" si="4"/>
        <v>Moderada(IPCA + 5%)</v>
      </c>
    </row>
    <row r="286" spans="1:5" outlineLevel="1" x14ac:dyDescent="0.2">
      <c r="A286">
        <v>12626</v>
      </c>
      <c r="B286" t="s">
        <v>245</v>
      </c>
      <c r="C286" t="s">
        <v>24</v>
      </c>
      <c r="D286" t="s">
        <v>14</v>
      </c>
      <c r="E286" t="str">
        <f t="shared" si="4"/>
        <v>Moderada(IPCA + 5%)</v>
      </c>
    </row>
    <row r="287" spans="1:5" outlineLevel="1" x14ac:dyDescent="0.2">
      <c r="A287">
        <v>13163</v>
      </c>
      <c r="B287" t="s">
        <v>245</v>
      </c>
      <c r="C287" t="s">
        <v>24</v>
      </c>
      <c r="D287" t="s">
        <v>14</v>
      </c>
      <c r="E287" t="str">
        <f t="shared" si="4"/>
        <v>Moderada(IPCA + 5%)</v>
      </c>
    </row>
    <row r="288" spans="1:5" x14ac:dyDescent="0.2">
      <c r="A288" s="35" t="s">
        <v>247</v>
      </c>
      <c r="B288">
        <v>3</v>
      </c>
    </row>
    <row r="289" spans="1:5" outlineLevel="1" x14ac:dyDescent="0.2">
      <c r="A289">
        <v>12876</v>
      </c>
      <c r="B289" t="s">
        <v>24</v>
      </c>
      <c r="C289" t="s">
        <v>24</v>
      </c>
      <c r="D289" t="s">
        <v>49</v>
      </c>
      <c r="E289" t="str">
        <f t="shared" si="4"/>
        <v>Moderada(IPCA + 6%)</v>
      </c>
    </row>
    <row r="290" spans="1:5" outlineLevel="1" x14ac:dyDescent="0.2">
      <c r="A290">
        <v>13438</v>
      </c>
      <c r="B290" t="s">
        <v>41</v>
      </c>
      <c r="C290" t="s">
        <v>41</v>
      </c>
      <c r="D290" t="s">
        <v>17</v>
      </c>
      <c r="E290" t="str">
        <f t="shared" si="4"/>
        <v>Offshore(5% a.a.)</v>
      </c>
    </row>
    <row r="291" spans="1:5" outlineLevel="1" x14ac:dyDescent="0.2">
      <c r="A291">
        <v>12879</v>
      </c>
      <c r="B291" t="s">
        <v>245</v>
      </c>
      <c r="C291" t="s">
        <v>24</v>
      </c>
      <c r="D291" t="s">
        <v>14</v>
      </c>
      <c r="E291" t="str">
        <f t="shared" si="4"/>
        <v>Moderada(IPCA + 5%)</v>
      </c>
    </row>
    <row r="292" spans="1:5" x14ac:dyDescent="0.2">
      <c r="A292" s="35" t="s">
        <v>247</v>
      </c>
      <c r="B292">
        <v>11</v>
      </c>
    </row>
    <row r="293" spans="1:5" outlineLevel="1" x14ac:dyDescent="0.2">
      <c r="A293">
        <v>13713</v>
      </c>
      <c r="B293" t="s">
        <v>245</v>
      </c>
      <c r="C293" t="s">
        <v>24</v>
      </c>
      <c r="D293" t="s">
        <v>14</v>
      </c>
      <c r="E293" t="str">
        <f t="shared" si="4"/>
        <v>Moderada(IPCA + 5%)</v>
      </c>
    </row>
    <row r="294" spans="1:5" outlineLevel="1" x14ac:dyDescent="0.2">
      <c r="A294">
        <v>11808</v>
      </c>
      <c r="B294" t="s">
        <v>245</v>
      </c>
      <c r="C294" t="s">
        <v>26</v>
      </c>
      <c r="D294" t="s">
        <v>42</v>
      </c>
      <c r="E294" t="str">
        <f t="shared" si="4"/>
        <v>Agressiva(IBOVESPA)</v>
      </c>
    </row>
    <row r="295" spans="1:5" outlineLevel="1" x14ac:dyDescent="0.2">
      <c r="A295">
        <v>11636</v>
      </c>
      <c r="B295" t="s">
        <v>245</v>
      </c>
      <c r="C295" t="s">
        <v>24</v>
      </c>
      <c r="D295" t="s">
        <v>14</v>
      </c>
      <c r="E295" t="str">
        <f t="shared" si="4"/>
        <v>Moderada(IPCA + 5%)</v>
      </c>
    </row>
    <row r="296" spans="1:5" outlineLevel="1" x14ac:dyDescent="0.2">
      <c r="A296">
        <v>11799</v>
      </c>
      <c r="B296" t="s">
        <v>245</v>
      </c>
      <c r="C296" t="s">
        <v>41</v>
      </c>
      <c r="D296" t="s">
        <v>44</v>
      </c>
      <c r="E296" t="str">
        <f t="shared" si="4"/>
        <v>Offshore(7% a.a.)</v>
      </c>
    </row>
    <row r="297" spans="1:5" outlineLevel="1" x14ac:dyDescent="0.2">
      <c r="A297">
        <v>12481</v>
      </c>
      <c r="B297" t="s">
        <v>245</v>
      </c>
      <c r="C297" t="s">
        <v>41</v>
      </c>
      <c r="D297" t="s">
        <v>44</v>
      </c>
      <c r="E297" t="str">
        <f t="shared" ref="E297" si="5">C297 &amp; "("&amp; D297&amp;")"</f>
        <v>Offshore(7% a.a.)</v>
      </c>
    </row>
    <row r="298" spans="1:5" outlineLevel="1" x14ac:dyDescent="0.2">
      <c r="A298">
        <v>11645</v>
      </c>
      <c r="B298" t="s">
        <v>245</v>
      </c>
      <c r="C298" t="s">
        <v>24</v>
      </c>
      <c r="D298" t="s">
        <v>14</v>
      </c>
      <c r="E298" t="str">
        <f t="shared" si="4"/>
        <v>Moderada(IPCA + 5%)</v>
      </c>
    </row>
    <row r="299" spans="1:5" outlineLevel="1" x14ac:dyDescent="0.2">
      <c r="A299">
        <v>13731</v>
      </c>
      <c r="B299" t="s">
        <v>245</v>
      </c>
      <c r="C299" t="s">
        <v>24</v>
      </c>
      <c r="D299" t="s">
        <v>14</v>
      </c>
      <c r="E299" t="str">
        <f t="shared" si="4"/>
        <v>Moderada(IPCA + 5%)</v>
      </c>
    </row>
    <row r="300" spans="1:5" outlineLevel="1" x14ac:dyDescent="0.2">
      <c r="A300">
        <v>14535</v>
      </c>
      <c r="B300" t="s">
        <v>245</v>
      </c>
      <c r="C300" t="s">
        <v>41</v>
      </c>
      <c r="D300" t="s">
        <v>17</v>
      </c>
      <c r="E300" t="str">
        <f t="shared" ref="E300" si="6">C300 &amp; "("&amp; D300&amp;")"</f>
        <v>Offshore(5% a.a.)</v>
      </c>
    </row>
    <row r="301" spans="1:5" outlineLevel="1" x14ac:dyDescent="0.2">
      <c r="A301">
        <v>14442</v>
      </c>
      <c r="B301" t="s">
        <v>245</v>
      </c>
      <c r="C301" t="s">
        <v>41</v>
      </c>
      <c r="D301" t="s">
        <v>17</v>
      </c>
      <c r="E301" t="str">
        <f t="shared" ref="E301:E302" si="7">C301 &amp; "("&amp; D301&amp;")"</f>
        <v>Offshore(5% a.a.)</v>
      </c>
    </row>
    <row r="302" spans="1:5" outlineLevel="1" x14ac:dyDescent="0.2">
      <c r="A302">
        <v>14544</v>
      </c>
      <c r="B302" t="s">
        <v>245</v>
      </c>
      <c r="C302" t="s">
        <v>41</v>
      </c>
      <c r="D302" t="s">
        <v>17</v>
      </c>
      <c r="E302" t="str">
        <f t="shared" si="7"/>
        <v>Offshore(5% a.a.)</v>
      </c>
    </row>
    <row r="303" spans="1:5" outlineLevel="1" x14ac:dyDescent="0.2">
      <c r="A303">
        <v>12253</v>
      </c>
      <c r="B303" t="s">
        <v>245</v>
      </c>
      <c r="C303" t="s">
        <v>24</v>
      </c>
      <c r="D303" t="s">
        <v>14</v>
      </c>
      <c r="E303" t="str">
        <f t="shared" si="4"/>
        <v>Moderada(IPCA + 5%)</v>
      </c>
    </row>
    <row r="304" spans="1:5" x14ac:dyDescent="0.2">
      <c r="A304" s="35" t="s">
        <v>247</v>
      </c>
      <c r="B304">
        <v>2</v>
      </c>
    </row>
    <row r="305" spans="1:5" outlineLevel="1" x14ac:dyDescent="0.2">
      <c r="A305">
        <v>13922</v>
      </c>
      <c r="B305" t="s">
        <v>24</v>
      </c>
      <c r="C305" t="s">
        <v>24</v>
      </c>
      <c r="D305" t="s">
        <v>14</v>
      </c>
      <c r="E305" t="str">
        <f>C305 &amp; "("&amp; D305&amp;")"</f>
        <v>Moderada(IPCA + 5%)</v>
      </c>
    </row>
    <row r="306" spans="1:5" outlineLevel="1" x14ac:dyDescent="0.2">
      <c r="A306">
        <v>12332</v>
      </c>
      <c r="B306" t="s">
        <v>41</v>
      </c>
      <c r="C306" t="s">
        <v>41</v>
      </c>
      <c r="D306" t="s">
        <v>17</v>
      </c>
      <c r="E306" t="str">
        <f t="shared" si="4"/>
        <v>Offshore(5% a.a.)</v>
      </c>
    </row>
    <row r="307" spans="1:5" x14ac:dyDescent="0.2">
      <c r="A307" s="35" t="s">
        <v>247</v>
      </c>
      <c r="B307">
        <v>3</v>
      </c>
    </row>
    <row r="308" spans="1:5" outlineLevel="1" x14ac:dyDescent="0.2">
      <c r="A308">
        <v>12229</v>
      </c>
      <c r="B308" t="s">
        <v>245</v>
      </c>
      <c r="C308" t="s">
        <v>24</v>
      </c>
      <c r="D308" t="s">
        <v>14</v>
      </c>
      <c r="E308" t="str">
        <f t="shared" si="4"/>
        <v>Moderada(IPCA + 5%)</v>
      </c>
    </row>
    <row r="309" spans="1:5" outlineLevel="1" x14ac:dyDescent="0.2">
      <c r="A309">
        <v>11639</v>
      </c>
      <c r="B309" t="s">
        <v>245</v>
      </c>
      <c r="C309" t="s">
        <v>41</v>
      </c>
      <c r="D309" t="s">
        <v>17</v>
      </c>
      <c r="E309" t="str">
        <f t="shared" si="4"/>
        <v>Offshore(5% a.a.)</v>
      </c>
    </row>
    <row r="310" spans="1:5" outlineLevel="1" x14ac:dyDescent="0.2">
      <c r="A310">
        <v>12420</v>
      </c>
      <c r="B310" t="s">
        <v>245</v>
      </c>
      <c r="C310" t="s">
        <v>24</v>
      </c>
      <c r="D310" t="s">
        <v>14</v>
      </c>
      <c r="E310" t="str">
        <f t="shared" si="4"/>
        <v>Moderada(IPCA + 5%)</v>
      </c>
    </row>
    <row r="311" spans="1:5" x14ac:dyDescent="0.2">
      <c r="A311" s="35" t="s">
        <v>247</v>
      </c>
      <c r="B311">
        <v>2</v>
      </c>
    </row>
    <row r="312" spans="1:5" outlineLevel="1" x14ac:dyDescent="0.2">
      <c r="A312">
        <v>12372</v>
      </c>
      <c r="B312" t="s">
        <v>24</v>
      </c>
      <c r="C312" t="s">
        <v>24</v>
      </c>
      <c r="D312" t="s">
        <v>14</v>
      </c>
      <c r="E312" t="str">
        <f t="shared" si="4"/>
        <v>Moderada(IPCA + 5%)</v>
      </c>
    </row>
    <row r="313" spans="1:5" outlineLevel="1" x14ac:dyDescent="0.2">
      <c r="A313">
        <v>12420</v>
      </c>
      <c r="B313" t="s">
        <v>245</v>
      </c>
      <c r="C313" t="s">
        <v>24</v>
      </c>
      <c r="D313" t="s">
        <v>14</v>
      </c>
      <c r="E313" t="str">
        <f t="shared" si="4"/>
        <v>Moderada(IPCA + 5%)</v>
      </c>
    </row>
    <row r="314" spans="1:5" x14ac:dyDescent="0.2">
      <c r="A314" s="35" t="s">
        <v>247</v>
      </c>
      <c r="B314">
        <v>3</v>
      </c>
    </row>
    <row r="315" spans="1:5" outlineLevel="1" x14ac:dyDescent="0.2">
      <c r="A315">
        <v>13850</v>
      </c>
      <c r="B315" t="s">
        <v>24</v>
      </c>
      <c r="C315" t="s">
        <v>24</v>
      </c>
      <c r="D315" t="s">
        <v>14</v>
      </c>
      <c r="E315" t="str">
        <f t="shared" si="4"/>
        <v>Moderada(IPCA + 5%)</v>
      </c>
    </row>
    <row r="316" spans="1:5" outlineLevel="1" x14ac:dyDescent="0.2">
      <c r="A316">
        <v>12308</v>
      </c>
      <c r="B316" t="s">
        <v>245</v>
      </c>
      <c r="C316" t="s">
        <v>24</v>
      </c>
      <c r="D316" t="s">
        <v>14</v>
      </c>
      <c r="E316" t="str">
        <f t="shared" si="4"/>
        <v>Moderada(IPCA + 5%)</v>
      </c>
    </row>
    <row r="317" spans="1:5" outlineLevel="1" x14ac:dyDescent="0.2">
      <c r="A317">
        <v>12311</v>
      </c>
      <c r="B317" t="s">
        <v>57</v>
      </c>
      <c r="C317" t="s">
        <v>24</v>
      </c>
      <c r="D317" t="s">
        <v>14</v>
      </c>
      <c r="E317" t="str">
        <f t="shared" si="4"/>
        <v>Moderada(IPCA + 5%)</v>
      </c>
    </row>
    <row r="318" spans="1:5" x14ac:dyDescent="0.2">
      <c r="A318" s="35" t="s">
        <v>247</v>
      </c>
      <c r="B318">
        <v>2</v>
      </c>
    </row>
    <row r="319" spans="1:5" outlineLevel="1" x14ac:dyDescent="0.2">
      <c r="A319">
        <v>11784</v>
      </c>
      <c r="B319" t="s">
        <v>24</v>
      </c>
      <c r="C319" t="s">
        <v>24</v>
      </c>
      <c r="D319" t="s">
        <v>14</v>
      </c>
      <c r="E319" t="str">
        <f t="shared" si="4"/>
        <v>Moderada(IPCA + 5%)</v>
      </c>
    </row>
    <row r="320" spans="1:5" outlineLevel="1" x14ac:dyDescent="0.2">
      <c r="A320">
        <v>12172</v>
      </c>
      <c r="B320" t="s">
        <v>41</v>
      </c>
      <c r="C320" t="s">
        <v>41</v>
      </c>
      <c r="D320" t="s">
        <v>17</v>
      </c>
      <c r="E320" t="str">
        <f t="shared" si="4"/>
        <v>Offshore(5% a.a.)</v>
      </c>
    </row>
    <row r="321" spans="1:5" x14ac:dyDescent="0.2">
      <c r="A321" s="35" t="s">
        <v>247</v>
      </c>
      <c r="B321">
        <v>1</v>
      </c>
    </row>
    <row r="322" spans="1:5" outlineLevel="1" x14ac:dyDescent="0.2">
      <c r="A322">
        <v>13925</v>
      </c>
      <c r="B322" t="s">
        <v>24</v>
      </c>
      <c r="C322" t="s">
        <v>10</v>
      </c>
      <c r="D322" t="s">
        <v>14</v>
      </c>
      <c r="E322" t="str">
        <f t="shared" si="4"/>
        <v>Moderada (IPCA + 5%)</v>
      </c>
    </row>
    <row r="323" spans="1:5" x14ac:dyDescent="0.2">
      <c r="A323" s="35" t="s">
        <v>247</v>
      </c>
      <c r="B323">
        <v>2</v>
      </c>
    </row>
    <row r="324" spans="1:5" outlineLevel="1" x14ac:dyDescent="0.2">
      <c r="A324">
        <v>11728</v>
      </c>
      <c r="B324" t="s">
        <v>245</v>
      </c>
      <c r="C324" t="s">
        <v>24</v>
      </c>
      <c r="D324" t="s">
        <v>12</v>
      </c>
      <c r="E324" t="str">
        <f t="shared" si="4"/>
        <v>Moderada(CDI)</v>
      </c>
    </row>
    <row r="325" spans="1:5" outlineLevel="1" x14ac:dyDescent="0.2">
      <c r="A325">
        <v>13796</v>
      </c>
      <c r="B325" t="s">
        <v>245</v>
      </c>
      <c r="C325" t="s">
        <v>24</v>
      </c>
      <c r="D325" t="s">
        <v>12</v>
      </c>
      <c r="E325" t="str">
        <f t="shared" ref="E325:E329" si="8">C325 &amp; "("&amp; D325&amp;")"</f>
        <v>Moderada(CDI)</v>
      </c>
    </row>
    <row r="326" spans="1:5" x14ac:dyDescent="0.2">
      <c r="A326" s="35" t="s">
        <v>247</v>
      </c>
      <c r="B326">
        <v>1</v>
      </c>
    </row>
    <row r="327" spans="1:5" outlineLevel="1" x14ac:dyDescent="0.2">
      <c r="A327">
        <v>14532</v>
      </c>
      <c r="B327" t="s">
        <v>24</v>
      </c>
      <c r="C327" t="s">
        <v>10</v>
      </c>
      <c r="D327" t="s">
        <v>14</v>
      </c>
      <c r="E327" t="str">
        <f t="shared" si="8"/>
        <v>Moderada (IPCA + 5%)</v>
      </c>
    </row>
    <row r="328" spans="1:5" x14ac:dyDescent="0.2">
      <c r="A328" s="35" t="s">
        <v>247</v>
      </c>
      <c r="B328">
        <v>1</v>
      </c>
    </row>
    <row r="329" spans="1:5" outlineLevel="1" x14ac:dyDescent="0.2">
      <c r="A329">
        <v>14469</v>
      </c>
      <c r="B329" t="s">
        <v>24</v>
      </c>
      <c r="C329" t="s">
        <v>10</v>
      </c>
      <c r="D329" t="s">
        <v>14</v>
      </c>
      <c r="E329" t="str">
        <f t="shared" si="8"/>
        <v>Moderada (IPCA + 5%)</v>
      </c>
    </row>
  </sheetData>
  <phoneticPr fontId="10" type="noConversion"/>
  <conditionalFormatting sqref="A1:XFD1048576">
    <cfRule type="cellIs" dxfId="1" priority="2" operator="equal">
      <formula>"Nome Cliente"</formula>
    </cfRule>
    <cfRule type="cellIs" dxfId="0" priority="1" operator="equal">
      <formula>"Cliente"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f46ca56-c039-4e9d-bbe3-53481f5c3529" xsi:nil="true"/>
    <lcf76f155ced4ddcb4097134ff3c332f xmlns="913bf5ba-6b36-4c8e-bef8-c73438b9f549">
      <Terms xmlns="http://schemas.microsoft.com/office/infopath/2007/PartnerControls"/>
    </lcf76f155ced4ddcb4097134ff3c332f>
    <_dlc_DocId xmlns="ff46ca56-c039-4e9d-bbe3-53481f5c3529">5ZYQRETFUHUN-230250761-234886</_dlc_DocId>
    <_dlc_DocIdUrl xmlns="ff46ca56-c039-4e9d-bbe3-53481f5c3529">
      <Url>https://mzrinvestimentos.sharepoint.com/sites/dados/_layouts/15/DocIdRedir.aspx?ID=5ZYQRETFUHUN-230250761-234886</Url>
      <Description>5ZYQRETFUHUN-230250761-234886</Description>
    </_dlc_DocIdUrl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84B54EEA4C5124FA8D8756C17CBC6FD" ma:contentTypeVersion="18" ma:contentTypeDescription="Crie um novo documento." ma:contentTypeScope="" ma:versionID="57f575d7758607ea4239507aebd189ca">
  <xsd:schema xmlns:xsd="http://www.w3.org/2001/XMLSchema" xmlns:xs="http://www.w3.org/2001/XMLSchema" xmlns:p="http://schemas.microsoft.com/office/2006/metadata/properties" xmlns:ns2="ff46ca56-c039-4e9d-bbe3-53481f5c3529" xmlns:ns3="913bf5ba-6b36-4c8e-bef8-c73438b9f549" targetNamespace="http://schemas.microsoft.com/office/2006/metadata/properties" ma:root="true" ma:fieldsID="c30873296f8037f4beada9aa4ce1c502" ns2:_="" ns3:_="">
    <xsd:import namespace="ff46ca56-c039-4e9d-bbe3-53481f5c3529"/>
    <xsd:import namespace="913bf5ba-6b36-4c8e-bef8-c73438b9f54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46ca56-c039-4e9d-bbe3-53481f5c352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a ID do Documento" ma:description="O valor da ID do documento atribuída a este item." ma:internalName="_dlc_DocId" ma:readOnly="true">
      <xsd:simpleType>
        <xsd:restriction base="dms:Text"/>
      </xsd:simpleType>
    </xsd:element>
    <xsd:element name="_dlc_DocIdUrl" ma:index="9" nillable="true" ma:displayName="ID do Documento" ma:description="Link permanente par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06d0957-335a-4aff-8bbc-ce8cf670e0e0}" ma:internalName="TaxCatchAll" ma:showField="CatchAllData" ma:web="ff46ca56-c039-4e9d-bbe3-53481f5c35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bf5ba-6b36-4c8e-bef8-c73438b9f5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Marcações de imagem" ma:readOnly="false" ma:fieldId="{5cf76f15-5ced-4ddc-b409-7134ff3c332f}" ma:taxonomyMulti="true" ma:sspId="42d707d5-9b87-4780-97fa-694d57e34cb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70BCA6-BACF-4348-B664-CF28A562ECAC}">
  <ds:schemaRefs>
    <ds:schemaRef ds:uri="http://schemas.microsoft.com/office/2006/metadata/properties"/>
    <ds:schemaRef ds:uri="http://schemas.microsoft.com/office/infopath/2007/PartnerControls"/>
    <ds:schemaRef ds:uri="ff46ca56-c039-4e9d-bbe3-53481f5c3529"/>
    <ds:schemaRef ds:uri="913bf5ba-6b36-4c8e-bef8-c73438b9f549"/>
  </ds:schemaRefs>
</ds:datastoreItem>
</file>

<file path=customXml/itemProps2.xml><?xml version="1.0" encoding="utf-8"?>
<ds:datastoreItem xmlns:ds="http://schemas.openxmlformats.org/officeDocument/2006/customXml" ds:itemID="{7615EC5C-21A1-4486-8314-E42A5C89C1BB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93912992-DB95-4AC8-9E44-F642F03A19A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D3B52AD-EEC8-42B7-B3D5-2166853D38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46ca56-c039-4e9d-bbe3-53481f5c3529"/>
    <ds:schemaRef ds:uri="913bf5ba-6b36-4c8e-bef8-c73438b9f5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Textos</vt:lpstr>
      <vt:lpstr>Base Consolidada</vt:lpstr>
      <vt:lpstr>Base Clientes</vt:lpstr>
      <vt:lpstr>Base Nova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beatriz.matos</dc:creator>
  <cp:lastModifiedBy>Vinícius Maciel</cp:lastModifiedBy>
  <dcterms:created xsi:type="dcterms:W3CDTF">2023-03-15T20:33:57Z</dcterms:created>
  <dcterms:modified xsi:type="dcterms:W3CDTF">2025-05-23T17:35:21Z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1384039194</vt:lpwstr>
  </property>
  <property fmtid="{D5CDD505-2E9C-101B-9397-08002B2CF9AE}" pid="3" name="EcoUpdateMessage">
    <vt:lpwstr>2023/11/09-23:19:54</vt:lpwstr>
  </property>
  <property fmtid="{D5CDD505-2E9C-101B-9397-08002B2CF9AE}" pid="4" name="EcoUpdateStatus">
    <vt:lpwstr>2023-11-09=BRA:St,ME,Fd,TP;USA:St,ME;ARG:St,ME,TP;MEX:St,ME,Fd,TP;CHL:St,ME;PER:St,ME,Fd;SAU:St|2022-10-17=USA:TP|2023-11-08=ARG:Fd;CHL:Fd;COL:St,ME;PER:TP|2021-11-17=CHL:TP|2014-02-26=VEN:St|2002-11-08=JPN:St|2023-11-07=GBR:St,ME|2016-08-18=NNN:St|2023-11-01=COL:Fd|2007-01-31=ESP:St|2003-01-29=CHN:St|2003-01-28=TWN:St|2003-01-30=HKG:St;KOR:St|2023-01-19=OTH:St|2023-08-29=PAN:St</vt:lpwstr>
  </property>
  <property fmtid="{D5CDD505-2E9C-101B-9397-08002B2CF9AE}" pid="5" name="ContentTypeId">
    <vt:lpwstr>0x010100484B54EEA4C5124FA8D8756C17CBC6FD</vt:lpwstr>
  </property>
  <property fmtid="{D5CDD505-2E9C-101B-9397-08002B2CF9AE}" pid="6" name="_dlc_DocIdItemGuid">
    <vt:lpwstr>be211279-7058-4f3d-88c3-b1346adce0f8</vt:lpwstr>
  </property>
  <property fmtid="{D5CDD505-2E9C-101B-9397-08002B2CF9AE}" pid="7" name="MediaServiceImageTags">
    <vt:lpwstr/>
  </property>
</Properties>
</file>